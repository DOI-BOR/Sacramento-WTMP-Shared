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9C2574D9-3BEA-486D-B476-E95674FF28ED}" xr6:coauthVersionLast="47" xr6:coauthVersionMax="47" xr10:uidLastSave="{00000000-0000-0000-0000-000000000000}"/>
  <bookViews>
    <workbookView xWindow="-25308" yWindow="-4008" windowWidth="25416" windowHeight="15252"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<sst xmlns="http://schemas.openxmlformats.org/spreadsheetml/2006/main" count="4552" uniqueCount="2629">
  <si>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</si>
  <si>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</si>
  <si>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</si>
  <si>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</si>
  <si>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</si>
  <si>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</si>
  <si>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</si>
  <si>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</si>
  <si>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</si>
  <si>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</si>
  <si>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</si>
  <si>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</si>
  <si>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</si>
  <si>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</si>
  <si>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</si>
  <si>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</si>
  <si>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</si>
  <si>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</si>
  <si>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</si>
  <si>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</si>
  <si>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</si>
  <si>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</si>
  <si>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</si>
  <si>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</si>
  <si>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</si>
  <si>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</si>
  <si>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</si>
  <si>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</si>
  <si>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</si>
  <si>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</si>
  <si>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</si>
  <si>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</si>
  <si>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</si>
  <si>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</si>
  <si>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</si>
  <si>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</si>
  <si>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</si>
  <si>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</si>
  <si>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</si>
  <si>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</si>
  <si>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</si>
  <si>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</si>
  <si>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</si>
  <si>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</si>
  <si>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</si>
  <si>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</si>
  <si>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</si>
  <si>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</si>
  <si>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</si>
  <si>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</si>
  <si>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</si>
  <si>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</si>
  <si>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</si>
  <si>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</si>
  <si>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</si>
  <si>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</si>
  <si>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</si>
  <si>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</si>
  <si>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</si>
  <si>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</si>
  <si>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</si>
  <si>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</si>
  <si>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</si>
  <si>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</si>
  <si>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</si>
  <si>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</si>
  <si>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</si>
  <si>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</si>
  <si>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</si>
  <si>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</si>
  <si>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</si>
  <si>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</si>
  <si>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</si>
  <si>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</si>
  <si>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</si>
  <si>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</si>
  <si>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</si>
  <si>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</si>
  <si>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</si>
  <si>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</si>
  <si>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</si>
  <si>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</si>
  <si>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</si>
  <si>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</si>
  <si>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</si>
  <si>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</si>
  <si>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</si>
  <si>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</si>
  <si>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</si>
  <si>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</si>
  <si>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</si>
  <si>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</si>
  <si>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</si>
  <si>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</si>
  <si>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</si>
  <si>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</si>
  <si>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</si>
  <si>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</si>
  <si>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</si>
  <si>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</si>
  <si>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</si>
  <si>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</si>
  <si>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</si>
  <si>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</si>
  <si>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</si>
  <si>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</si>
  <si>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</si>
  <si>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</si>
  <si>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</si>
  <si>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</si>
  <si>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</si>
  <si>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</si>
  <si>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</si>
  <si>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</si>
  <si>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</si>
  <si>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</si>
  <si>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</si>
  <si>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</si>
  <si>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</si>
  <si>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</si>
  <si>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</si>
  <si>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</si>
  <si>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</si>
  <si>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</si>
  <si>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</si>
  <si>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</si>
  <si>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</si>
  <si>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</si>
  <si>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</si>
  <si>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</si>
  <si>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</si>
  <si>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</si>
  <si>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</si>
  <si>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</si>
  <si>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</si>
  <si>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</si>
  <si>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</si>
  <si>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</si>
  <si>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</si>
  <si>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</si>
  <si>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</si>
  <si>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</si>
  <si>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</si>
  <si>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</si>
  <si>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</si>
  <si>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</si>
  <si>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</si>
  <si>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</si>
  <si>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</si>
  <si>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</si>
  <si>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</si>
  <si>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</si>
  <si>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</si>
  <si>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</si>
  <si>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</si>
  <si>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</si>
  <si>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</si>
  <si>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</si>
  <si>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</si>
  <si>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</si>
  <si>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</si>
  <si>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</si>
  <si>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</si>
  <si>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</si>
  <si>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</si>
  <si>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</si>
  <si>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</si>
  <si>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</si>
  <si>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</si>
  <si>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</si>
  <si>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</si>
  <si>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</si>
  <si>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</si>
  <si>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</si>
  <si>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</si>
  <si>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</si>
  <si>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</si>
  <si>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</si>
  <si>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</si>
  <si>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</si>
  <si>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</si>
  <si>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</si>
  <si>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</si>
  <si>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</si>
  <si>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</si>
  <si>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</si>
  <si>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</si>
  <si>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</si>
  <si>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</si>
  <si>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</si>
  <si>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</si>
  <si>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</si>
  <si>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</si>
  <si>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</si>
  <si>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</si>
  <si>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</si>
  <si>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</si>
  <si>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</si>
  <si>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</si>
  <si>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</si>
  <si>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</si>
  <si>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</si>
  <si>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</si>
  <si>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</si>
  <si>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</si>
  <si>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</si>
  <si>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</si>
  <si>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</si>
  <si>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</si>
  <si>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</si>
  <si>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</si>
  <si>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</si>
  <si>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</si>
  <si>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</si>
  <si>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</si>
  <si>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</si>
  <si>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</si>
  <si>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</si>
  <si>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</si>
  <si>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</si>
  <si>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</si>
  <si>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</si>
  <si>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</si>
  <si>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</si>
  <si>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</si>
  <si>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</si>
  <si>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</si>
  <si>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</si>
  <si>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</si>
  <si>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</si>
  <si>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</si>
  <si>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</si>
  <si>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</si>
  <si>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</si>
  <si>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</si>
  <si>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</si>
  <si>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</si>
  <si>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</si>
  <si>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</si>
  <si>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</si>
  <si>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</si>
  <si>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</si>
  <si>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</si>
  <si>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</si>
  <si>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</si>
  <si>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</si>
  <si>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</si>
  <si>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</si>
  <si>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</si>
  <si>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</si>
  <si>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</si>
  <si>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</si>
  <si>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</si>
  <si>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</si>
  <si>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</si>
  <si>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</si>
  <si>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</si>
  <si>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</si>
  <si>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</si>
  <si>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</si>
  <si>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</si>
  <si>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</si>
  <si>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</si>
  <si>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</si>
  <si>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</si>
  <si>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</si>
  <si>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</si>
  <si>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</si>
  <si>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</si>
  <si>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</si>
  <si>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</si>
  <si>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</si>
  <si>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</si>
  <si>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</si>
  <si>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</si>
  <si>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</si>
  <si>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</si>
  <si>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</si>
  <si>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</si>
  <si>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</si>
  <si>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</si>
  <si>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</si>
  <si>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</si>
  <si>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</si>
  <si>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</si>
  <si>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</si>
  <si>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</si>
  <si>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</si>
  <si>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</si>
  <si>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</si>
  <si>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</si>
  <si>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</si>
  <si>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</si>
  <si>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</si>
  <si>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</si>
  <si>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</si>
  <si>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</si>
  <si>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</si>
  <si>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</si>
  <si>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</si>
  <si>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</si>
  <si>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</si>
  <si>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</si>
  <si>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</si>
  <si>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</si>
  <si>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</si>
  <si>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</si>
  <si>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</si>
  <si>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</si>
  <si>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</si>
  <si>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</si>
  <si>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</si>
  <si>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</si>
  <si>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</si>
  <si>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</si>
  <si>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</si>
  <si>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</si>
  <si>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</si>
  <si>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</si>
  <si>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</si>
  <si>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</si>
  <si>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</si>
  <si>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</si>
  <si>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</si>
  <si>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</si>
  <si>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</si>
  <si>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</si>
  <si>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</si>
  <si>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</si>
  <si>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</si>
  <si>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</si>
  <si>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</si>
  <si>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</si>
  <si>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</si>
  <si>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</si>
  <si>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</si>
  <si>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</si>
  <si>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</si>
  <si>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</si>
  <si>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</si>
  <si>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</si>
  <si>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</si>
  <si>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</si>
  <si>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</si>
  <si>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</si>
  <si>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</si>
  <si>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</si>
  <si>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</si>
  <si>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</si>
  <si>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</si>
  <si>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</si>
  <si>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</si>
  <si>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</si>
  <si>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</si>
  <si>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</si>
  <si>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</si>
  <si>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</si>
  <si>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</si>
  <si>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</si>
  <si>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</si>
  <si>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</si>
  <si>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</si>
  <si>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</si>
  <si>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</si>
  <si>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</si>
  <si>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</si>
  <si>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</si>
  <si>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</si>
  <si>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</si>
  <si>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</si>
  <si>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</si>
  <si>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</si>
  <si>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</si>
  <si>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</si>
  <si>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</si>
  <si>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</si>
  <si>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</si>
  <si>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</si>
  <si>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</si>
  <si>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</si>
  <si>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</si>
  <si>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</si>
  <si>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</si>
  <si>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</si>
  <si>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</si>
  <si>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</si>
  <si>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</si>
  <si>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</si>
  <si>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</si>
  <si>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</si>
  <si>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</si>
  <si>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</si>
  <si>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</si>
  <si>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</si>
  <si>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</si>
  <si>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</si>
  <si>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</si>
  <si>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</si>
  <si>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</si>
  <si>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</si>
  <si>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</si>
  <si>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</si>
  <si>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</si>
  <si>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</si>
  <si>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</si>
  <si>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</si>
  <si>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</si>
  <si>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</si>
  <si>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</si>
  <si>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</si>
  <si>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</si>
  <si>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</si>
  <si>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</si>
  <si>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</si>
  <si>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</si>
  <si>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</si>
  <si>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</si>
  <si>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</si>
  <si>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</si>
  <si>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</si>
  <si>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</si>
  <si>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</si>
  <si>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</si>
  <si>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</si>
  <si>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</si>
  <si>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</si>
  <si>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</si>
  <si>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</si>
  <si>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</si>
  <si>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</si>
  <si>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</si>
  <si>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</si>
  <si>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</si>
  <si>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</si>
  <si>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</si>
  <si>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</si>
  <si>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</si>
  <si>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</si>
  <si>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</si>
  <si>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</si>
  <si>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</si>
  <si>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</si>
  <si>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</si>
  <si>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</si>
  <si>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</si>
  <si>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</si>
  <si>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</si>
  <si>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</si>
  <si>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</si>
  <si>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</si>
  <si>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</si>
  <si>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</si>
  <si>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</si>
  <si>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</si>
  <si>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</si>
  <si>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</si>
  <si>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</si>
  <si>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</si>
  <si>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</si>
  <si>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</si>
  <si>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</si>
  <si>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</si>
  <si>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</si>
  <si>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</si>
  <si>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</si>
  <si>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</si>
  <si>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</si>
  <si>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</si>
  <si>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</si>
  <si>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</si>
  <si>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</si>
  <si>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</si>
  <si>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</si>
  <si>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</si>
  <si>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</si>
  <si>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</si>
  <si>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</si>
  <si>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</si>
  <si>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</si>
  <si>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</si>
  <si>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</si>
  <si>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</si>
  <si>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</si>
  <si>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</si>
  <si>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</si>
  <si>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</si>
  <si>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</si>
  <si>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</si>
  <si>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</si>
  <si>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</si>
  <si>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</si>
  <si>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</si>
  <si>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</si>
  <si>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</si>
  <si>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</si>
  <si>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</si>
  <si>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</si>
  <si>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</si>
  <si>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</si>
  <si>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</si>
  <si>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</si>
  <si>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</si>
  <si>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</si>
  <si>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</si>
  <si>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</si>
  <si>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</si>
  <si>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</si>
  <si>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</si>
  <si>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</si>
  <si>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</si>
  <si>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</si>
  <si>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</si>
  <si>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</si>
  <si>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</si>
  <si>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</si>
  <si>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</si>
  <si>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</si>
  <si>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</si>
  <si>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</si>
  <si>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</si>
  <si>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</si>
  <si>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</si>
  <si>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</si>
  <si>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</si>
  <si>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</si>
  <si>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</si>
  <si>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</si>
  <si>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</si>
  <si>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</si>
  <si>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</si>
  <si>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</si>
  <si>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</si>
  <si>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</si>
  <si>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</si>
  <si>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</si>
  <si>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</si>
  <si>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</si>
  <si>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</si>
  <si>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</si>
  <si>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</si>
  <si>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</si>
  <si>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</si>
  <si>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</si>
  <si>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</si>
  <si>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</si>
  <si>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</si>
  <si>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</si>
  <si>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</si>
  <si>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</si>
  <si>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</si>
  <si>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</si>
  <si>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</si>
  <si>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</si>
  <si>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</si>
  <si>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</si>
  <si>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</si>
  <si>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</si>
  <si>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</si>
  <si>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</si>
  <si>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</si>
  <si>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</si>
  <si>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</si>
  <si>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</si>
  <si>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</si>
  <si>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</si>
  <si>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</si>
  <si>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</si>
  <si>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</si>
  <si>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</si>
  <si>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</si>
  <si>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</si>
  <si>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</si>
  <si>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</si>
  <si>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</si>
  <si>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</si>
  <si>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</si>
  <si>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</si>
  <si>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</si>
  <si>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</si>
  <si>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</si>
  <si>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</si>
  <si>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</si>
  <si>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</si>
  <si>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</si>
  <si>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</si>
  <si>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</si>
  <si>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</si>
  <si>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</si>
  <si>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</si>
  <si>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</si>
  <si>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</si>
  <si>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</si>
  <si>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</si>
  <si>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</si>
  <si>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</si>
  <si>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</si>
  <si>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</si>
  <si>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</si>
  <si>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</si>
  <si>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</si>
  <si>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</si>
  <si>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</si>
  <si>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</si>
  <si>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</si>
  <si>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</si>
  <si>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</si>
  <si>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</si>
  <si>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</si>
  <si>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</si>
  <si>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</si>
  <si>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</si>
  <si>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</si>
  <si>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</si>
  <si>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</si>
  <si>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</si>
  <si>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</si>
  <si>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</si>
  <si>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</si>
  <si>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</si>
  <si>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</si>
  <si>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</si>
  <si>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</si>
  <si>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</si>
  <si>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</si>
  <si>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</si>
  <si>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</si>
  <si>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</si>
  <si>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</si>
  <si>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</si>
  <si>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</si>
  <si>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</si>
  <si>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</si>
  <si>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</si>
  <si>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</si>
  <si>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</si>
  <si>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</si>
  <si>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</si>
  <si>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</si>
  <si>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</si>
  <si>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</si>
  <si>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</si>
  <si>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</si>
  <si>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</si>
  <si>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</si>
  <si>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</si>
  <si>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</si>
  <si>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</si>
  <si>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</si>
  <si>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</si>
  <si>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</si>
  <si>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</si>
  <si>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</si>
  <si>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</si>
  <si>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</si>
  <si>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</si>
  <si>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</si>
  <si>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</si>
  <si>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</si>
  <si>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</si>
  <si>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</si>
  <si>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</si>
  <si>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</si>
  <si>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</si>
  <si>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</si>
  <si>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</si>
  <si>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</si>
  <si>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</si>
  <si>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</si>
  <si>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</si>
  <si>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</si>
  <si>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</si>
  <si>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</si>
  <si>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</si>
  <si>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</si>
  <si>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</si>
  <si>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</si>
  <si>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</si>
  <si>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</si>
  <si>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</si>
  <si>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</si>
  <si>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</si>
  <si>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</si>
  <si>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</si>
  <si>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</si>
  <si>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</si>
  <si>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</si>
  <si>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</si>
  <si>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</si>
  <si>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</si>
  <si>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</si>
  <si>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</si>
  <si>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</si>
  <si>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</si>
  <si>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</si>
  <si>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</si>
  <si>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</si>
  <si>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</si>
  <si>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</si>
  <si>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</si>
  <si>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</si>
  <si>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</si>
  <si>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</si>
  <si>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</si>
  <si>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</si>
  <si>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</si>
  <si>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</si>
  <si>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</si>
  <si>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</si>
  <si>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</si>
  <si>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</si>
  <si>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</si>
  <si>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</si>
  <si>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</si>
  <si>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</si>
  <si>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</si>
  <si>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</si>
  <si>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</si>
  <si>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</si>
  <si>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</si>
  <si>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</si>
  <si>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</si>
  <si>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</si>
  <si>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</si>
  <si>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</si>
  <si>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</si>
  <si>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</si>
  <si>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</si>
  <si>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</si>
  <si>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</si>
  <si>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</si>
  <si>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</si>
  <si>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</si>
  <si>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</si>
  <si>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</si>
  <si>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</si>
  <si>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</si>
  <si>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</si>
  <si>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</si>
  <si>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</si>
  <si>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</si>
  <si>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</si>
  <si>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</si>
  <si>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</si>
  <si>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</si>
  <si>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</si>
  <si>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</si>
  <si>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</si>
  <si>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</si>
  <si>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</si>
  <si>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</si>
  <si>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</si>
  <si>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</si>
  <si>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</si>
  <si>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</si>
  <si>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</si>
  <si>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</si>
  <si>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</si>
  <si>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</si>
  <si>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</si>
  <si>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</si>
  <si>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</si>
  <si>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</si>
  <si>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</si>
  <si>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</si>
  <si>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</si>
  <si>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</si>
  <si>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</si>
  <si>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</si>
  <si>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</si>
  <si>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</si>
  <si>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</si>
  <si>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</si>
  <si>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</si>
  <si>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</si>
  <si>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</si>
  <si>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</si>
  <si>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</si>
  <si>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</si>
  <si>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</si>
  <si>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</si>
  <si>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</si>
  <si>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</si>
  <si>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</si>
  <si>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</si>
  <si>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</si>
  <si>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</si>
  <si>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</si>
  <si>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</si>
  <si>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</si>
  <si>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</si>
  <si>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</si>
  <si>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</si>
  <si>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</si>
  <si>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</si>
  <si>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</si>
  <si>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</si>
  <si>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</si>
  <si>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</si>
  <si>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</si>
  <si>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</si>
  <si>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</si>
  <si>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</si>
  <si>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</si>
  <si>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</si>
  <si>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</si>
  <si>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</si>
  <si>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</si>
  <si>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</si>
  <si>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</si>
  <si>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</si>
  <si>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</si>
  <si>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</si>
  <si>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</si>
  <si>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</si>
  <si>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</si>
  <si>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</si>
  <si>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</si>
  <si>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</si>
  <si>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</si>
  <si>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</si>
  <si>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</si>
  <si>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</si>
  <si>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</si>
  <si>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</si>
  <si>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</si>
  <si>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</si>
  <si>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</si>
  <si>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</si>
  <si>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</si>
  <si>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</si>
  <si>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</si>
  <si>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</si>
  <si>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</si>
  <si>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</si>
  <si>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</si>
  <si>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</si>
  <si>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</si>
  <si>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</si>
  <si>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</si>
  <si>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</si>
  <si>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</si>
  <si>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</si>
  <si>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</si>
  <si>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</si>
  <si>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</si>
  <si>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</si>
  <si>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</si>
  <si>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</si>
  <si>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</si>
  <si>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</si>
  <si>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</si>
  <si>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</si>
  <si>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</si>
  <si>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</si>
  <si>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</si>
  <si>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</si>
  <si>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</si>
  <si>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</si>
  <si>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</si>
  <si>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</si>
  <si>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</si>
  <si>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</si>
  <si>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</si>
  <si>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</si>
  <si>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</si>
  <si>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</si>
  <si>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</si>
  <si>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</si>
  <si>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</si>
  <si>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</si>
  <si>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</si>
  <si>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</si>
  <si>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</si>
  <si>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</si>
  <si>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</si>
  <si>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</si>
  <si>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</si>
  <si>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</si>
  <si>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</si>
  <si>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</si>
  <si>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</si>
  <si>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</si>
  <si>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</si>
  <si>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</si>
  <si>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</si>
  <si>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</si>
  <si>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</si>
  <si>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</si>
  <si>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</si>
  <si>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</si>
  <si>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</si>
  <si>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</si>
  <si>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</si>
  <si>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</si>
  <si>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</si>
  <si>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</si>
  <si>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</si>
  <si>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</si>
  <si>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</si>
  <si>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</si>
  <si>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</si>
  <si>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</si>
  <si>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</si>
  <si>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</si>
  <si>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</si>
  <si>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</si>
  <si>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</si>
  <si>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</si>
  <si>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</si>
  <si>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</si>
  <si>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</si>
  <si>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</si>
  <si>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</si>
  <si>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</si>
  <si>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</si>
  <si>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</si>
  <si>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</si>
  <si>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</si>
  <si>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</si>
  <si>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</si>
  <si>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</si>
  <si>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</si>
  <si>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</si>
  <si>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</si>
  <si>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</si>
  <si>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</si>
  <si>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</si>
  <si>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</si>
  <si>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</si>
  <si>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</si>
  <si>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</si>
  <si>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</si>
  <si>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</si>
  <si>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</si>
  <si>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</si>
  <si>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</si>
  <si>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</si>
  <si>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</si>
  <si>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</si>
  <si>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</si>
  <si>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</si>
  <si>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</si>
  <si>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</si>
  <si>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</si>
  <si>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</si>
  <si>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</si>
  <si>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</si>
  <si>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</si>
  <si>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</si>
  <si>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</si>
  <si>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</si>
  <si>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</si>
  <si>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</si>
  <si>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</si>
  <si>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</si>
  <si>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</si>
  <si>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</si>
  <si>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</si>
  <si>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</si>
  <si>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</si>
  <si>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</si>
  <si>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</si>
  <si>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</si>
  <si>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</si>
  <si>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</si>
  <si>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</si>
  <si>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</si>
  <si>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</si>
  <si>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</si>
  <si>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</si>
  <si>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</si>
  <si>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</si>
  <si>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</si>
  <si>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</si>
  <si>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</si>
  <si>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</si>
  <si>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</si>
  <si>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</si>
  <si>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</si>
  <si>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</si>
  <si>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</si>
  <si>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</si>
  <si>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</si>
  <si>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</si>
  <si>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</si>
  <si>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</si>
  <si>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</si>
  <si>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</si>
  <si>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</si>
  <si>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</si>
  <si>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</si>
  <si>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</si>
  <si>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</si>
  <si>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</si>
  <si>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</si>
  <si>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</si>
  <si>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</si>
  <si>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</si>
  <si>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</si>
  <si>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</si>
  <si>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</si>
  <si>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</si>
  <si>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</si>
  <si>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</si>
  <si>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</si>
  <si>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</si>
  <si>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</si>
  <si>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</si>
  <si>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</si>
  <si>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</si>
  <si>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</si>
  <si>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</si>
  <si>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</si>
  <si>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</si>
  <si>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</si>
  <si>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</si>
  <si>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</si>
  <si>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</si>
  <si>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</si>
  <si>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</si>
  <si>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</si>
  <si>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</si>
  <si>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</si>
  <si>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</si>
  <si>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</si>
  <si>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</si>
  <si>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</si>
  <si>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</si>
  <si>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</si>
  <si>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</si>
  <si>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</si>
  <si>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</si>
  <si>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</si>
  <si>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</si>
  <si>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</si>
  <si>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</si>
  <si>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</si>
  <si>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</si>
  <si>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</si>
  <si>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</si>
  <si>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</si>
  <si>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</si>
  <si>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</si>
  <si>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</si>
  <si>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</si>
  <si>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</si>
  <si>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</si>
  <si>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</si>
  <si>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</si>
  <si>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</si>
  <si>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</si>
  <si>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</si>
  <si>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</si>
  <si>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</si>
  <si>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</si>
  <si>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</si>
  <si>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</si>
  <si>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</si>
  <si>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</si>
  <si>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</si>
  <si>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</si>
  <si>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</si>
  <si>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</si>
  <si>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</si>
  <si>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</si>
  <si>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</si>
  <si>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</si>
  <si>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</si>
  <si>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</si>
  <si>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</si>
  <si>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</si>
  <si>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</si>
  <si>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</si>
  <si>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</si>
  <si>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</si>
  <si>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</si>
  <si>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</si>
  <si>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</si>
  <si>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</si>
  <si>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</si>
  <si>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</si>
  <si>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</si>
  <si>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</si>
  <si>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</si>
  <si>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</si>
  <si>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</si>
  <si>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</si>
  <si>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</si>
  <si>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</si>
  <si>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</si>
  <si>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</si>
  <si>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</si>
  <si>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</si>
  <si>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</si>
  <si>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</si>
  <si>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</si>
  <si>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</si>
  <si>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</si>
  <si>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</si>
  <si>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</si>
  <si>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</si>
  <si>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</si>
  <si>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</si>
  <si>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</si>
  <si>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</si>
  <si>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</si>
  <si>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</si>
  <si>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</si>
  <si>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</si>
  <si>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</si>
  <si>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</si>
  <si>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</si>
  <si>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</si>
  <si>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</si>
  <si>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</si>
  <si>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</si>
  <si>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</si>
  <si>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</si>
  <si>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</si>
  <si>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</si>
  <si>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</si>
  <si>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</si>
  <si>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</si>
  <si>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</si>
  <si>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</si>
  <si>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</si>
  <si>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</si>
  <si>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</si>
  <si>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</si>
  <si>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</si>
  <si>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</si>
  <si>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</si>
  <si>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</si>
  <si>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</si>
  <si>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</si>
  <si>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</si>
  <si>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</si>
  <si>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</si>
  <si>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</si>
  <si>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</si>
  <si>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</si>
  <si>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</si>
  <si>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</si>
  <si>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</si>
  <si>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</si>
  <si>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</si>
  <si>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</si>
  <si>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</si>
  <si>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</si>
  <si>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</si>
  <si>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</si>
  <si>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</si>
  <si>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</si>
  <si>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</si>
  <si>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</si>
  <si>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</si>
  <si>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</si>
  <si>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</si>
  <si>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</si>
  <si>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</si>
  <si>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</si>
  <si>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</si>
  <si>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</si>
  <si>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</si>
  <si>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</si>
  <si>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</si>
  <si>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</si>
  <si>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</si>
  <si>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</si>
  <si>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</si>
  <si>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</si>
  <si>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</si>
  <si>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</si>
  <si>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</si>
  <si>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</si>
  <si>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</si>
  <si>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</si>
  <si>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</si>
  <si>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</si>
  <si>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</si>
  <si>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</si>
  <si>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</si>
  <si>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</si>
  <si>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</si>
  <si>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</si>
  <si>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</si>
  <si>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</si>
  <si>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</si>
  <si>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</si>
  <si>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</si>
  <si>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</si>
  <si>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</si>
  <si>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</si>
  <si>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</si>
  <si>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</si>
  <si>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</si>
  <si>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</si>
  <si>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</si>
  <si>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</si>
  <si>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</si>
  <si>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</si>
  <si>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</si>
  <si>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</si>
  <si>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</si>
  <si>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</si>
  <si>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</si>
  <si>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</si>
  <si>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</si>
  <si>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</si>
  <si>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</si>
  <si>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</si>
  <si>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</si>
  <si>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</si>
  <si>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</si>
  <si>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</si>
  <si>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</si>
  <si>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</si>
  <si>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</si>
  <si>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</si>
  <si>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</si>
  <si>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</si>
  <si>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</si>
  <si>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</si>
  <si>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</si>
  <si>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</si>
  <si>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</si>
  <si>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</si>
  <si>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</si>
  <si>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</si>
  <si>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</si>
  <si>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</si>
  <si>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</si>
  <si>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</si>
  <si>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</si>
  <si>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</si>
  <si>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</si>
  <si>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</si>
  <si>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</si>
  <si>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</si>
  <si>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</si>
  <si>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</si>
  <si>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</si>
  <si>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</si>
  <si>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</si>
  <si>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</si>
  <si>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</si>
  <si>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</si>
  <si>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</si>
  <si>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</si>
  <si>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</si>
  <si>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</si>
  <si>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</si>
  <si>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</si>
  <si>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</si>
  <si>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</si>
  <si>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</si>
  <si>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</si>
  <si>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</si>
  <si>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</si>
  <si>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</si>
  <si>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</si>
  <si>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</si>
  <si>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</si>
  <si>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</si>
  <si>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</si>
  <si>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</si>
  <si>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</si>
  <si>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</si>
  <si>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</si>
  <si>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</si>
  <si>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</si>
  <si>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</si>
  <si>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</si>
  <si>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</si>
  <si>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</si>
  <si>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</si>
  <si>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</si>
  <si>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</si>
  <si>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</si>
  <si>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</si>
  <si>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</si>
  <si>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</si>
  <si>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</si>
  <si>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</si>
  <si>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</si>
  <si>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</si>
  <si>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</si>
  <si>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</si>
  <si>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</si>
  <si>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</si>
  <si>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</si>
  <si>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</si>
  <si>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</si>
  <si>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</si>
  <si>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</si>
  <si>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</si>
  <si>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</si>
  <si>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</si>
  <si>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</si>
  <si>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</si>
  <si>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</si>
  <si>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</si>
  <si>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</si>
  <si>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</si>
  <si>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</si>
  <si>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</si>
  <si>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</si>
  <si>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</si>
  <si>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</si>
  <si>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</si>
  <si>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</si>
  <si>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</si>
  <si>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</si>
  <si>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</si>
  <si>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</si>
  <si>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</si>
  <si>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</si>
  <si>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</si>
  <si>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</si>
  <si>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</si>
  <si>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</si>
  <si>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</si>
  <si>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</si>
  <si>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</si>
  <si>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</si>
  <si>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</si>
  <si>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</si>
  <si>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</si>
  <si>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</si>
  <si>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</si>
  <si>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</si>
  <si>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</si>
  <si>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</si>
  <si>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</si>
  <si>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</si>
  <si>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</si>
  <si>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</si>
  <si>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</si>
  <si>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</si>
  <si>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</si>
  <si>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</si>
  <si>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</si>
  <si>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</si>
  <si>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</si>
  <si>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</si>
  <si>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</si>
  <si>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</si>
  <si>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</si>
  <si>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</si>
  <si>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</si>
  <si>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</si>
  <si>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</si>
  <si>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</si>
  <si>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</si>
  <si>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</si>
  <si>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</si>
  <si>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</si>
  <si>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</si>
  <si>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</si>
  <si>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</si>
  <si>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</si>
  <si>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</si>
  <si>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</si>
  <si>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</si>
  <si>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</si>
  <si>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</si>
  <si>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</si>
  <si>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</si>
  <si>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</si>
  <si>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</si>
  <si>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</si>
  <si>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</si>
  <si>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</si>
  <si>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</si>
  <si>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</si>
  <si>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</si>
  <si>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</si>
  <si>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</si>
  <si>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</si>
  <si>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</si>
  <si>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</si>
  <si>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</si>
  <si>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</si>
  <si>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</si>
  <si>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</si>
  <si>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</si>
  <si>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</si>
  <si>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</si>
  <si>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</si>
  <si>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</si>
  <si>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</si>
  <si>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</si>
  <si>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</si>
  <si>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</si>
  <si>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</si>
  <si>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</si>
  <si>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</si>
  <si>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</si>
  <si>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</si>
  <si>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</si>
  <si>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</si>
  <si>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</si>
  <si>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</si>
  <si>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</si>
  <si>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</si>
  <si>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</si>
  <si>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</si>
  <si>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</si>
  <si>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</si>
  <si>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</si>
  <si>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</si>
  <si>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</si>
  <si>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</si>
  <si>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</si>
  <si>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</si>
  <si>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</si>
  <si>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</si>
  <si>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</si>
  <si>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</si>
  <si>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</si>
  <si>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</si>
  <si>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</si>
  <si>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</si>
  <si>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</si>
  <si>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</si>
  <si>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</si>
  <si>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</si>
  <si>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</si>
  <si>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</si>
  <si>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</si>
  <si>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</si>
  <si>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</si>
  <si>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</si>
  <si>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</si>
  <si>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</si>
  <si>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</si>
  <si>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</si>
  <si>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</si>
  <si>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</si>
  <si>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</si>
  <si>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</si>
  <si>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</si>
  <si>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</si>
  <si>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</si>
  <si>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</si>
  <si>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</si>
  <si>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</si>
  <si>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</si>
  <si>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</si>
  <si>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</si>
  <si>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</si>
  <si>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</si>
  <si>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</si>
  <si>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</si>
  <si>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</si>
  <si>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</si>
  <si>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</si>
  <si>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</si>
  <si>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</si>
  <si>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</si>
  <si>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</si>
  <si>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</si>
  <si>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</si>
  <si>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</si>
  <si>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</si>
  <si>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</si>
  <si>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</si>
  <si>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</si>
  <si>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</si>
  <si>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</si>
  <si>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</si>
  <si>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</si>
  <si>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</si>
  <si>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</si>
  <si>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</si>
  <si>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</si>
  <si>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</si>
  <si>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</si>
  <si>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</si>
  <si>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</si>
  <si>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</si>
  <si>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</si>
  <si>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</si>
  <si>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</si>
  <si>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</si>
  <si>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</si>
  <si>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</si>
  <si>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</si>
  <si>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</si>
  <si>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</si>
  <si>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</si>
  <si>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</si>
  <si>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</si>
  <si>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</si>
  <si>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</si>
  <si>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</si>
  <si>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</si>
  <si>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</si>
  <si>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</si>
  <si>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</si>
  <si>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</si>
  <si>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</si>
  <si>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</si>
  <si>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</si>
  <si>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</si>
  <si>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</si>
  <si>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</si>
  <si>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</si>
  <si>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</si>
  <si>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</si>
  <si>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</si>
  <si>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</si>
  <si>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</si>
  <si>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</si>
  <si>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</si>
  <si>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</si>
  <si>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</si>
  <si>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</si>
  <si>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</si>
  <si>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</si>
  <si>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</si>
  <si>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</si>
  <si>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</si>
  <si>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</si>
  <si>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</si>
  <si>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</si>
  <si>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</si>
  <si>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</si>
  <si>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</si>
  <si>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</si>
  <si>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</si>
  <si>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</si>
  <si>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</si>
  <si>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</si>
  <si>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</si>
  <si>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</si>
  <si>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</si>
  <si>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</si>
  <si>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</si>
  <si>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</si>
  <si>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</si>
  <si>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</si>
  <si>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</si>
  <si>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</si>
  <si>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</si>
  <si>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</si>
  <si>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</si>
  <si>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</si>
  <si>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</si>
  <si>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</si>
  <si>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</si>
  <si>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</si>
  <si>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</si>
  <si>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</si>
  <si>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</si>
  <si>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</si>
  <si>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</si>
  <si>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</si>
  <si>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</si>
  <si>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</si>
  <si>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</si>
  <si>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</si>
  <si>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</si>
  <si>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</si>
  <si>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</si>
  <si>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</si>
  <si>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</si>
  <si>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</si>
  <si>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</si>
  <si>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</si>
  <si>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</si>
  <si>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</si>
  <si>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</si>
  <si>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</si>
  <si>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</si>
  <si>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</si>
  <si>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</si>
  <si>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</si>
  <si>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</si>
  <si>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</si>
  <si>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</si>
  <si>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</si>
  <si>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</si>
  <si>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</si>
  <si>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</si>
  <si>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</si>
  <si>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</si>
  <si>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</si>
  <si>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</si>
  <si>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</si>
  <si>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</si>
  <si>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</si>
  <si>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</si>
  <si>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</si>
  <si>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</si>
  <si>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</si>
  <si>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</si>
  <si>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</si>
  <si>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</si>
  <si>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</si>
  <si>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</si>
  <si>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</si>
  <si>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</si>
  <si>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</si>
  <si>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</si>
  <si>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</si>
  <si>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</si>
  <si>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</si>
  <si>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</si>
  <si>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</si>
  <si>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</si>
  <si>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</si>
  <si>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</si>
  <si>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</si>
  <si>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</si>
  <si>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</si>
  <si>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</si>
  <si>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</si>
  <si>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</si>
  <si>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</si>
  <si>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</si>
  <si>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</si>
  <si>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</si>
  <si>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</si>
  <si>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</si>
  <si>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</si>
  <si>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</si>
  <si>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</si>
  <si>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</si>
  <si>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</si>
  <si>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</si>
  <si>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</si>
  <si>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</si>
  <si>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</si>
  <si>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</si>
  <si>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</si>
  <si>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</si>
  <si>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</si>
  <si>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</si>
  <si>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</si>
  <si>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</si>
  <si>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</si>
  <si>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</si>
  <si>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</si>
  <si>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</si>
  <si>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</si>
  <si>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</si>
  <si>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</si>
  <si>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</si>
  <si>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</si>
  <si>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</si>
  <si>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</si>
  <si>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</si>
  <si>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</si>
  <si>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</si>
  <si>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</si>
  <si>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</si>
  <si>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</si>
  <si>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</si>
  <si>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</si>
  <si>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</si>
  <si>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</si>
  <si>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</si>
  <si>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</si>
  <si>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</si>
  <si>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</si>
  <si>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</si>
  <si>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</si>
  <si>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</si>
  <si>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</si>
  <si>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</si>
  <si>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</si>
  <si>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</si>
  <si>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</si>
  <si>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</si>
  <si>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</si>
  <si>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</si>
  <si>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</si>
  <si>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</si>
  <si>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</si>
  <si>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</si>
  <si>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</si>
  <si>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</si>
  <si>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</si>
  <si>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</si>
  <si>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</si>
  <si>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</si>
  <si>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</si>
  <si>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</si>
  <si>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</si>
  <si>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</si>
  <si>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</si>
  <si>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</si>
  <si>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</si>
  <si>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</si>
  <si>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</si>
  <si>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</si>
  <si>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</si>
  <si>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</si>
  <si>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</si>
  <si>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</si>
  <si>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</si>
  <si>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</si>
  <si>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</si>
  <si>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</si>
  <si>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</si>
  <si>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</si>
  <si>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</si>
  <si>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</si>
  <si>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</si>
  <si>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</si>
  <si>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</si>
  <si>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</si>
  <si>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</si>
  <si>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</si>
  <si>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</si>
  <si>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</si>
  <si>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</si>
  <si>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</si>
  <si>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</si>
  <si>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</si>
  <si>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</si>
  <si>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</si>
  <si>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</si>
  <si>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</si>
  <si>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</si>
  <si>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</si>
  <si>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</si>
  <si>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</si>
  <si>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</si>
  <si>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</si>
  <si>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</si>
  <si>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</si>
  <si>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</si>
  <si>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</si>
  <si>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</si>
  <si>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</si>
  <si>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</si>
  <si>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</si>
  <si>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</si>
  <si>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</si>
  <si>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</si>
  <si>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</si>
  <si>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</si>
  <si>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</si>
  <si>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</si>
  <si>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</si>
  <si>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</si>
  <si>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</si>
  <si>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</si>
  <si>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</si>
  <si>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</si>
  <si>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</si>
  <si>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</si>
  <si>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</si>
  <si>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</si>
  <si>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</si>
  <si>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</si>
  <si>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</si>
  <si>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</si>
  <si>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</si>
  <si>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</si>
  <si>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</si>
  <si>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</si>
  <si>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</si>
  <si>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</si>
  <si>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</si>
  <si>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</si>
  <si>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</si>
  <si>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</si>
  <si>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</si>
  <si>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</si>
  <si>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</si>
  <si>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</si>
  <si>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</si>
  <si>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</si>
  <si>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</si>
  <si>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</si>
  <si>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</si>
  <si>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</si>
  <si>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</si>
  <si>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</si>
  <si>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</si>
  <si>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</si>
  <si>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</si>
  <si>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</si>
  <si>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</si>
  <si>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</si>
  <si>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</si>
  <si>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</si>
  <si>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</si>
  <si>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</si>
  <si>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</si>
  <si>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</si>
  <si>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</si>
  <si>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</si>
  <si>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</si>
  <si>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</si>
  <si>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</si>
  <si>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</si>
  <si>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</si>
  <si>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</si>
  <si>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</si>
  <si>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</si>
  <si>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</si>
  <si>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</si>
  <si>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</si>
  <si>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</si>
  <si>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</si>
  <si>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</si>
  <si>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</si>
  <si>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</si>
  <si>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</si>
  <si>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</si>
  <si>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</si>
  <si>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</si>
  <si>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</si>
  <si>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</si>
  <si>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</si>
  <si>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</si>
  <si>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</si>
  <si>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</si>
  <si>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</si>
  <si>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</si>
  <si>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</si>
  <si>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</si>
  <si>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</si>
  <si>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</si>
  <si>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</si>
  <si>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</si>
  <si>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</si>
  <si>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</si>
  <si>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</si>
  <si>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</si>
  <si>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</si>
  <si>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</si>
  <si>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</si>
  <si>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</si>
  <si>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</si>
  <si>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</si>
  <si>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</si>
  <si>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</si>
  <si>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</si>
  <si>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</si>
  <si>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</si>
  <si>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</si>
  <si>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</si>
  <si>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</si>
  <si>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</si>
  <si>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</si>
  <si>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</si>
  <si>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</si>
  <si>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</si>
  <si>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</si>
  <si>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</si>
  <si>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</si>
  <si>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</si>
  <si>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</si>
  <si>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</si>
  <si>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</si>
  <si>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</si>
  <si>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</si>
  <si>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</si>
  <si>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</si>
  <si>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</si>
  <si>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</si>
  <si>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</si>
  <si>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</si>
  <si>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</si>
  <si>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</si>
  <si>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</si>
  <si>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</si>
  <si>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</si>
  <si>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</si>
  <si>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</si>
  <si>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</si>
  <si>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</si>
  <si>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</si>
  <si>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</si>
  <si>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</si>
  <si>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</si>
  <si>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</si>
  <si>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</si>
  <si>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</si>
  <si>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</si>
  <si>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</si>
  <si>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</si>
  <si>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</si>
  <si>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</si>
  <si>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</si>
  <si>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</si>
  <si>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</si>
  <si>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</si>
  <si>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</si>
  <si>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</si>
  <si>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</si>
  <si>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</si>
  <si>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</si>
  <si>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</si>
  <si>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</si>
  <si>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</si>
  <si>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</si>
  <si>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</si>
  <si>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</si>
  <si>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</si>
  <si>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</si>
  <si>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</si>
  <si>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</si>
  <si>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</si>
  <si>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</si>
  <si>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</si>
  <si>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</si>
  <si>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</si>
  <si>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</si>
  <si>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</si>
  <si>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</si>
  <si>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</si>
  <si>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</si>
  <si>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</si>
  <si>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</si>
  <si>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</si>
  <si>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</si>
  <si>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</si>
  <si>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</si>
  <si>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</si>
  <si>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</si>
  <si>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</si>
  <si>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</si>
  <si>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</si>
  <si>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</si>
  <si>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</si>
  <si>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</si>
  <si>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</si>
  <si>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</si>
  <si>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</si>
  <si>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</si>
  <si>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</si>
  <si>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</si>
  <si>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</si>
  <si>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</si>
  <si>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</si>
  <si>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</si>
  <si>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</si>
  <si>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</si>
  <si>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</si>
  <si>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</si>
  <si>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</si>
  <si>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</si>
  <si>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</si>
  <si>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</si>
  <si>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</si>
  <si>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</si>
  <si>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</si>
  <si>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</si>
  <si>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</si>
  <si>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</si>
  <si>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</si>
  <si>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</si>
  <si>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</si>
  <si>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</si>
  <si>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</si>
  <si>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</si>
  <si>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</si>
  <si>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</si>
  <si>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</si>
  <si>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</si>
  <si>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</si>
  <si>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</si>
  <si>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</si>
  <si>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</si>
  <si>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</si>
  <si>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</si>
  <si>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</si>
  <si>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</si>
  <si>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</si>
  <si>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</si>
  <si>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</si>
  <si>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</si>
  <si>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</si>
  <si>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</si>
  <si>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</si>
  <si>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</si>
  <si>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</si>
  <si>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</si>
  <si>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</si>
  <si>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</si>
  <si>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</si>
  <si>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</si>
  <si>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</si>
  <si>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</si>
  <si>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</si>
  <si>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</si>
  <si>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</si>
  <si>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</si>
  <si>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</si>
  <si>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</si>
  <si>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</si>
  <si>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</si>
  <si>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</si>
  <si>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</si>
  <si>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</si>
  <si>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</si>
  <si>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</si>
  <si>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</si>
  <si>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</si>
  <si>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</si>
  <si>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</si>
  <si>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</si>
  <si>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</si>
  <si>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</si>
  <si>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</si>
  <si>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</si>
  <si>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</si>
  <si>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</si>
  <si>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</si>
  <si>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</si>
  <si>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</si>
  <si>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</si>
  <si>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</si>
  <si>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</si>
  <si>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</si>
  <si>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</si>
  <si>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</si>
  <si>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</si>
  <si>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</si>
  <si>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</si>
  <si>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</si>
  <si>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</si>
  <si>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</si>
  <si>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</si>
  <si>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</si>
  <si>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</si>
  <si>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</si>
  <si>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</si>
  <si>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</si>
  <si>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</si>
  <si>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</si>
  <si>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</si>
  <si>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</si>
  <si>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</si>
  <si>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</si>
  <si>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</si>
  <si>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</si>
  <si>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</si>
  <si>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</si>
  <si>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</si>
  <si>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</si>
  <si>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</si>
  <si>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</si>
  <si>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</si>
  <si>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</si>
  <si>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</si>
  <si>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</si>
  <si>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</si>
  <si>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</si>
  <si>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</si>
  <si>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</si>
  <si>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</si>
  <si>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</si>
  <si>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</si>
  <si>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</si>
  <si>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</si>
  <si>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</si>
  <si>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</si>
  <si>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</si>
  <si>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</si>
  <si>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</si>
  <si>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</si>
  <si>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</si>
  <si>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</si>
  <si>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</si>
  <si>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</si>
  <si>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</si>
  <si>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</si>
  <si>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</si>
  <si>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</si>
  <si>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</si>
  <si>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</si>
  <si>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</si>
  <si>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</si>
  <si>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</si>
  <si>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</si>
  <si>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</si>
  <si>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</si>
  <si>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</si>
  <si>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</si>
  <si>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</si>
  <si>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</si>
  <si>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</si>
  <si>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</si>
  <si>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</si>
  <si>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</si>
  <si>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</si>
  <si>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</si>
  <si>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</si>
  <si>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</si>
  <si>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</si>
  <si>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</si>
  <si>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</si>
  <si>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</si>
  <si>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</si>
  <si>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</si>
  <si>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</si>
  <si>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</si>
  <si>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</si>
  <si>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</si>
  <si>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</si>
  <si>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</si>
  <si>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</si>
  <si>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</si>
  <si>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</si>
  <si>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</si>
  <si>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</si>
  <si>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</si>
  <si>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</si>
  <si>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</si>
  <si>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</si>
  <si>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</si>
  <si>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</si>
  <si>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</si>
  <si>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</si>
  <si>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</si>
  <si>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</si>
  <si>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</si>
  <si>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</si>
  <si>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</si>
  <si>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</si>
  <si>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</si>
  <si>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</si>
  <si>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</si>
  <si>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</si>
  <si>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</si>
  <si>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</si>
  <si>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</si>
  <si>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</si>
  <si>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</si>
  <si>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</si>
  <si>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</si>
  <si>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</si>
  <si>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</si>
  <si>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</si>
  <si>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</si>
  <si>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</si>
  <si>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</si>
  <si>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</si>
  <si>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</si>
  <si>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</si>
  <si>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</si>
  <si>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</si>
  <si>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</si>
  <si>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</si>
  <si>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</si>
  <si>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</si>
  <si>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</si>
  <si>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</si>
  <si>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</si>
  <si>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</si>
  <si>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</si>
  <si>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</si>
  <si>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</si>
  <si>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</si>
  <si>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</si>
  <si>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</si>
  <si>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</si>
  <si>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</si>
  <si>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</si>
  <si>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</si>
  <si>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</si>
  <si>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</si>
  <si>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</si>
  <si>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</si>
  <si>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</si>
  <si>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</si>
  <si>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</si>
  <si>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</si>
  <si>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</si>
  <si>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</si>
  <si>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</si>
  <si>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</si>
  <si>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</si>
  <si>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</si>
  <si>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</si>
  <si>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</si>
  <si>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</si>
  <si>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</si>
  <si>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</si>
  <si>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</si>
  <si>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</si>
  <si>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</si>
  <si>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</si>
  <si>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</si>
  <si>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</si>
  <si>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</si>
  <si>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</si>
  <si>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</si>
  <si>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</si>
  <si>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</si>
  <si>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</si>
  <si>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</si>
  <si>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</si>
  <si>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</si>
  <si>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</si>
  <si>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</si>
  <si>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</si>
  <si>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</si>
  <si>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</si>
  <si>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</si>
  <si>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</si>
  <si>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</si>
  <si>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</si>
  <si>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</si>
  <si>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</si>
  <si>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</si>
  <si>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</si>
  <si>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</si>
  <si>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</si>
  <si>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</si>
  <si>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</si>
  <si>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</si>
  <si>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</si>
  <si>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</si>
  <si>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</si>
  <si>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</si>
  <si>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</si>
  <si>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</si>
  <si>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</si>
  <si>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</si>
  <si>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</si>
  <si>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</si>
  <si>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</si>
  <si>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</si>
  <si>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</si>
  <si>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</si>
  <si>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</si>
  <si>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</si>
  <si>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</si>
  <si>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</si>
  <si>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</si>
  <si>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</si>
  <si>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</si>
  <si>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</si>
  <si>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</si>
  <si>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</si>
  <si>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</si>
  <si>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</si>
  <si>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</si>
  <si>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</si>
  <si>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</si>
  <si>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</si>
  <si>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</si>
  <si>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</si>
  <si>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</si>
  <si>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</si>
  <si>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</si>
  <si>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</si>
  <si>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</si>
  <si>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</si>
  <si>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</si>
  <si>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</si>
  <si>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</si>
  <si>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</si>
  <si>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</si>
  <si>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</si>
  <si>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</si>
  <si>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</si>
  <si>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</si>
  <si>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</si>
  <si>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</si>
  <si>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</si>
  <si>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</si>
  <si>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</si>
  <si>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</si>
  <si>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</si>
  <si>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</si>
  <si>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</si>
  <si>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</si>
  <si>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</si>
  <si>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</si>
  <si>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</si>
  <si>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</si>
  <si>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</si>
  <si>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</si>
  <si>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</si>
  <si>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</si>
  <si>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</si>
  <si>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</si>
  <si>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</si>
  <si>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</si>
  <si>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</si>
  <si>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</si>
  <si>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</si>
  <si>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</si>
  <si>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</si>
  <si>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</si>
  <si>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</si>
  <si>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</si>
  <si>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</si>
  <si>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</si>
  <si>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</si>
  <si>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</si>
  <si>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</si>
  <si>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</si>
  <si>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</si>
  <si>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</si>
  <si>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</si>
  <si>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</si>
  <si>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</si>
  <si>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</si>
  <si>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</si>
  <si>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</si>
  <si>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</si>
  <si>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</si>
  <si>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</si>
  <si>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</si>
  <si>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</si>
  <si>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</si>
  <si>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</si>
  <si>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</si>
  <si>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</si>
  <si>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</si>
  <si>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</si>
  <si>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</si>
  <si>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</si>
  <si>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</si>
  <si>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</si>
  <si>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</si>
  <si>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</si>
  <si>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</si>
  <si>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</si>
  <si>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</si>
  <si>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</si>
  <si>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</si>
  <si>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</si>
  <si>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</si>
  <si>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</si>
  <si>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</si>
  <si>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</si>
  <si>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</si>
  <si>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</si>
  <si>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</si>
  <si>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</si>
  <si>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</si>
  <si>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</si>
  <si>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</si>
  <si>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</si>
  <si>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</si>
  <si>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</si>
  <si>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</si>
  <si>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</si>
  <si>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</si>
  <si>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</si>
  <si>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</si>
  <si>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</si>
  <si>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</si>
  <si>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</si>
  <si>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</si>
  <si>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</si>
  <si>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</si>
  <si>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</si>
  <si>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</si>
  <si>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</si>
  <si>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</si>
  <si>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</si>
  <si>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</si>
  <si>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</si>
  <si>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</si>
  <si>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</si>
  <si>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</si>
  <si>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</si>
  <si>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</si>
  <si>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</si>
  <si>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</si>
  <si>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</si>
  <si>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</si>
  <si>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</si>
  <si>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</si>
  <si>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</si>
  <si>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</si>
  <si>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</si>
  <si>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</si>
  <si>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</si>
  <si>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</si>
  <si>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</si>
  <si>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</si>
  <si>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</si>
  <si>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</si>
  <si>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</si>
  <si>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</si>
  <si>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</si>
  <si>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</si>
  <si>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</si>
  <si>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</si>
  <si>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</si>
  <si>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</si>
  <si>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</si>
  <si>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</si>
  <si>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</si>
  <si>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</si>
  <si>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</si>
  <si>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</si>
  <si>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</si>
  <si>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</si>
  <si>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</si>
  <si>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</si>
  <si>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</si>
  <si>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</si>
  <si>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</si>
  <si>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</si>
  <si>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</si>
  <si>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</si>
  <si>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</si>
  <si>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</si>
  <si>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</si>
  <si>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</si>
  <si>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</si>
  <si>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</si>
  <si>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</si>
  <si>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</si>
  <si>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</si>
  <si>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</si>
  <si>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</si>
  <si>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</si>
  <si>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</si>
  <si>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</si>
  <si>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</si>
  <si>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</si>
  <si>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</si>
  <si>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</si>
  <si>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</si>
  <si>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</si>
  <si>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</si>
  <si>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</si>
  <si>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</si>
  <si>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</si>
  <si>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</si>
  <si>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</si>
  <si>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</si>
  <si>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</si>
  <si>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</si>
  <si>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</si>
  <si>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</si>
  <si>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</si>
  <si>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</si>
  <si>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</si>
  <si>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</si>
  <si>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</si>
  <si>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</si>
  <si>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</si>
  <si>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</si>
  <si>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</si>
  <si>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</si>
  <si>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</si>
  <si>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</si>
  <si>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</si>
  <si>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</si>
  <si>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</si>
  <si>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</si>
  <si>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</si>
  <si>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</si>
  <si>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</si>
  <si>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</si>
  <si>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</si>
  <si>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</si>
  <si>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</si>
  <si>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</si>
  <si>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</si>
  <si>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</si>
  <si>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</si>
  <si>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</si>
  <si>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</si>
  <si>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</si>
  <si>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</si>
  <si>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</si>
  <si>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</si>
  <si>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</si>
  <si>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</si>
  <si>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</si>
  <si>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</si>
  <si>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</si>
  <si>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</si>
  <si>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</si>
  <si>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</si>
  <si>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</si>
  <si>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</si>
  <si>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</si>
  <si>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</si>
  <si>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</si>
  <si>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</si>
  <si>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</si>
  <si>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</si>
  <si>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</si>
  <si>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</si>
  <si>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</si>
  <si>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</si>
  <si>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</si>
  <si>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</si>
  <si>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</si>
  <si>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</si>
  <si>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</si>
  <si>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</si>
  <si>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</si>
  <si>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</si>
  <si>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</si>
  <si>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</si>
  <si>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</si>
  <si>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</si>
  <si>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</si>
  <si>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</si>
  <si>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</si>
  <si>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</si>
  <si>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</si>
  <si>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</si>
  <si>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</si>
  <si>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</si>
  <si>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</si>
  <si>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</si>
  <si>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</si>
  <si>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</si>
  <si>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</si>
  <si>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</si>
  <si>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</si>
  <si>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</si>
  <si>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</si>
  <si>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</si>
  <si>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</si>
  <si>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</si>
  <si>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</si>
  <si>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</si>
  <si>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</si>
  <si>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</si>
  <si>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</si>
  <si>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</si>
  <si>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</si>
  <si>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</si>
  <si>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</si>
  <si>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</si>
  <si>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</si>
  <si>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</si>
  <si>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</si>
  <si>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</si>
  <si>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</si>
  <si>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</si>
  <si>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</si>
  <si>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</si>
  <si>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</si>
  <si>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</si>
  <si>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</si>
  <si>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</si>
  <si>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</si>
  <si>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</si>
  <si>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</si>
  <si>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</si>
  <si>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</si>
  <si>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</si>
  <si>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</si>
  <si>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</si>
  <si>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</si>
  <si>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</si>
  <si>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</si>
  <si>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</si>
  <si>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MANN</t>
  </si>
  <si>
    <t xml:space="preserve">OFF    </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</si>
  <si>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</si>
  <si>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</si>
  <si>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</si>
  <si>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</si>
  <si>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</si>
  <si>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</si>
  <si>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</si>
  <si>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</si>
  <si>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</si>
  <si>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</si>
  <si>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</si>
  <si>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</si>
  <si>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</si>
  <si>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</si>
  <si>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</si>
  <si>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</si>
  <si>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</si>
  <si>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</si>
  <si>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</si>
  <si>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</si>
  <si>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</si>
  <si>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</si>
  <si>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</si>
  <si>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</si>
  <si>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</si>
  <si>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</si>
  <si>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</si>
  <si>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</si>
  <si>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</si>
  <si>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</si>
  <si>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</si>
  <si>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</si>
  <si>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</si>
  <si>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</si>
  <si>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 xml:space="preserve">snp.opt                                               </t>
  </si>
  <si>
    <t>" layer heights = 1 m"</t>
  </si>
  <si>
    <t>"Segment lengths"</t>
  </si>
  <si>
    <t>"Branches = 4"</t>
  </si>
  <si>
    <t>"Bathymetry V3"</t>
  </si>
  <si>
    <t>POINT</t>
  </si>
  <si>
    <t xml:space="preserve">Trinity4br_wsc.csv                                                           </t>
  </si>
  <si>
    <t xml:space="preserve">shade.npt                                                      </t>
  </si>
  <si>
    <t xml:space="preserve">vpr.csv                                                     </t>
  </si>
  <si>
    <t xml:space="preserve">Trinity_bth_1m.csv                                                             </t>
  </si>
  <si>
    <t>DENSITY</t>
  </si>
  <si>
    <t>ctr_tr1.npt</t>
  </si>
  <si>
    <t>TKE</t>
  </si>
  <si>
    <t>TERM</t>
  </si>
  <si>
    <t>"Yujia C - WCE 8-19-2022  "</t>
  </si>
  <si>
    <t xml:space="preserve">tsr_TRI2018_1m.csv                                                                 </t>
  </si>
  <si>
    <t>Trinity2018_qwd.csv</t>
  </si>
  <si>
    <t xml:space="preserve">TrinityCamp2018_met.csv                                                          </t>
  </si>
  <si>
    <t xml:space="preserve">TRI_Br1_2018_qin.csv                                                     </t>
  </si>
  <si>
    <t xml:space="preserve">TRI_Br2_2018_qin.csv                                                     </t>
  </si>
  <si>
    <t xml:space="preserve">TRI_Br3_2018_qin.csv                                                     </t>
  </si>
  <si>
    <t xml:space="preserve">TRI_Br4_2018_qin.csv                                                     </t>
  </si>
  <si>
    <t xml:space="preserve">TRI_Br1_2018_Tw.csv                                                        </t>
  </si>
  <si>
    <t xml:space="preserve">TRI_Br2_2018_Tw.csv     </t>
  </si>
  <si>
    <t xml:space="preserve">TRI_Br3_2018_Tw.csv     </t>
  </si>
  <si>
    <t xml:space="preserve">TRI_Br4_2018_Tw.csv     </t>
  </si>
  <si>
    <t xml:space="preserve">Trinity2018_qot.csv                                                       </t>
  </si>
  <si>
    <t xml:space="preserve">Trinity2018_qdt_1.csv            </t>
  </si>
  <si>
    <t xml:space="preserve">Trinity2018_tdt.csv                                              </t>
  </si>
  <si>
    <t>"Trinity Lake - Jan 1 through December 31, 2018"</t>
  </si>
  <si>
    <t>SwiftCreek_flow_2018.csv</t>
  </si>
  <si>
    <t>SwiftCreek_Tw_2018.csv</t>
  </si>
  <si>
    <t>Trinity2018.w2l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</si>
</sst>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2546</v>
      </c>
      <c r="E2" s="67"/>
    </row>
    <row r="3" spans="2:14" x14ac:dyDescent="0.3">
      <c r="B3" s="85" t="s">
        <v>1819</v>
      </c>
      <c r="D3" t="s">
        <v>2547</v>
      </c>
    </row>
    <row r="4" spans="2:14" x14ac:dyDescent="0.3">
      <c r="B4" s="77" t="s">
        <v>1820</v>
      </c>
    </row>
    <row r="5" spans="2:14" x14ac:dyDescent="0.3">
      <c r="B5" s="78" t="s">
        <v>1821</v>
      </c>
      <c r="D5" t="s">
        <v>2548</v>
      </c>
    </row>
    <row r="6" spans="2:14" x14ac:dyDescent="0.3">
      <c r="B6" s="79" t="s">
        <v>1822</v>
      </c>
      <c r="D6" t="s">
        <v>2548</v>
      </c>
    </row>
    <row r="7" spans="2:14" x14ac:dyDescent="0.3">
      <c r="B7" s="78" t="s">
        <v>1823</v>
      </c>
      <c r="D7" t="s">
        <v>2548</v>
      </c>
      <c r="M7" s="104"/>
    </row>
    <row r="8" spans="2:14" x14ac:dyDescent="0.3">
      <c r="B8" s="78" t="s">
        <v>1824</v>
      </c>
      <c r="D8" t="s">
        <v>2548</v>
      </c>
    </row>
    <row r="9" spans="2:14" x14ac:dyDescent="0.3">
      <c r="B9" s="78" t="s">
        <v>1825</v>
      </c>
      <c r="D9" t="s">
        <v>2551</v>
      </c>
    </row>
    <row r="10" spans="2:14" x14ac:dyDescent="0.3">
      <c r="B10" s="78" t="s">
        <v>1826</v>
      </c>
      <c r="D10" t="s">
        <v>2551</v>
      </c>
    </row>
    <row r="11" spans="2:14" x14ac:dyDescent="0.3">
      <c r="B11" s="78" t="s">
        <v>1827</v>
      </c>
      <c r="D11" t="s">
        <v>2551</v>
      </c>
    </row>
    <row r="12" spans="2:14" x14ac:dyDescent="0.3">
      <c r="B12" s="78" t="s">
        <v>1828</v>
      </c>
      <c r="D12" t="s">
        <v>2551</v>
      </c>
      <c r="M12" s="102"/>
      <c r="N12" s="102"/>
    </row>
    <row r="13" spans="2:14" x14ac:dyDescent="0.3">
      <c r="B13" s="78" t="s">
        <v>1829</v>
      </c>
      <c r="D13" t="s">
        <v>2551</v>
      </c>
      <c r="M13" s="101"/>
    </row>
    <row r="14" spans="2:14" x14ac:dyDescent="0.3">
      <c r="B14" s="107" t="s">
        <v>2497</v>
      </c>
      <c r="D14" t="s">
        <v>2551</v>
      </c>
      <c r="M14" s="101"/>
    </row>
    <row r="15" spans="2:14" x14ac:dyDescent="0.3">
      <c r="B15" s="113" t="s">
        <v>2544</v>
      </c>
      <c r="D15" t="s">
        <v>2551</v>
      </c>
    </row>
    <row r="16" spans="2:14" x14ac:dyDescent="0.3">
      <c r="B16" s="113" t="s">
        <v>2543</v>
      </c>
      <c r="D16" t="s">
        <v>2548</v>
      </c>
      <c r="N16" s="102"/>
    </row>
    <row r="17" spans="1:14" x14ac:dyDescent="0.3">
      <c r="B17" s="113" t="s">
        <v>2542</v>
      </c>
      <c r="D17" t="s">
        <v>2549</v>
      </c>
    </row>
    <row r="18" spans="1:14" x14ac:dyDescent="0.3">
      <c r="B18" s="84" t="s">
        <v>1993</v>
      </c>
      <c r="D18" t="s">
        <v>2548</v>
      </c>
    </row>
    <row r="20" spans="1:14" x14ac:dyDescent="0.3">
      <c r="B20" s="78" t="s">
        <v>1830</v>
      </c>
      <c r="D20" t="s">
        <v>2550</v>
      </c>
      <c r="N20" s="103"/>
    </row>
    <row r="21" spans="1:14" x14ac:dyDescent="0.3">
      <c r="M21" s="71"/>
      <c r="N21" s="103"/>
    </row>
    <row r="25" spans="1:14" x14ac:dyDescent="0.3">
      <c r="A25" t="s">
        <v>1493</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1937</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1938</v>
      </c>
    </row>
    <row r="43" spans="1:20" x14ac:dyDescent="0.3">
      <c r="A43" s="26" t="s">
        <v>2552</v>
      </c>
    </row>
    <row r="44" spans="1:20" x14ac:dyDescent="0.3">
      <c r="N44" t="s">
        <v>1939</v>
      </c>
    </row>
    <row r="45" spans="1:20" x14ac:dyDescent="0.3">
      <c r="A45" t="s">
        <v>1000</v>
      </c>
    </row>
    <row r="46" spans="1:20" x14ac:dyDescent="0.3">
      <c r="A46" t="s">
        <v>1940</v>
      </c>
      <c r="N46" t="s">
        <v>1941</v>
      </c>
    </row>
    <row r="47" spans="1:20" x14ac:dyDescent="0.3">
      <c r="M47">
        <v>1</v>
      </c>
      <c r="N47" s="66" t="s">
        <v>453</v>
      </c>
      <c r="O47" s="23" t="s">
        <v>156</v>
      </c>
    </row>
    <row r="48" spans="1:20" x14ac:dyDescent="0.3">
      <c r="N48" s="12" t="s">
        <v>268</v>
      </c>
      <c r="O48" s="1" t="s">
        <v>1107</v>
      </c>
      <c r="T48" t="str">
        <f>CHAR(34)&amp;O48&amp;CHAR(34)</f>
        <v>"Timestep violations [NVIOL]                "</v>
      </c>
    </row>
    <row r="49" spans="13:20" x14ac:dyDescent="0.3">
      <c r="N49" s="12" t="s">
        <v>34</v>
      </c>
      <c r="O49" s="1" t="s">
        <v>1942</v>
      </c>
      <c r="T49" t="str">
        <f t="shared" ref="T49:T54" si="0">CHAR(34)&amp;O49&amp;CHAR(34)</f>
        <v>"Horizontal velocity [U], m/s               "</v>
      </c>
    </row>
    <row r="50" spans="13:20" x14ac:dyDescent="0.3">
      <c r="N50" s="12" t="s">
        <v>35</v>
      </c>
      <c r="O50" s="1" t="s">
        <v>1943</v>
      </c>
      <c r="T50" t="str">
        <f t="shared" si="0"/>
        <v>"Vertical velocity [W], m/s                 "</v>
      </c>
    </row>
    <row r="51" spans="13:20" x14ac:dyDescent="0.3">
      <c r="N51" s="12" t="s">
        <v>36</v>
      </c>
      <c r="O51" s="1" t="s">
        <v>1944</v>
      </c>
      <c r="T51" t="str">
        <f t="shared" si="0"/>
        <v>"Temperature [T1], &lt;o/&gt;C                    "</v>
      </c>
    </row>
    <row r="52" spans="13:20" x14ac:dyDescent="0.3">
      <c r="N52" s="12" t="s">
        <v>37</v>
      </c>
      <c r="O52" s="1" t="s">
        <v>1945</v>
      </c>
      <c r="T52" t="str">
        <f t="shared" si="0"/>
        <v>"Density [RHO], kg/m^3                      "</v>
      </c>
    </row>
    <row r="53" spans="13:20" x14ac:dyDescent="0.3">
      <c r="N53" s="12" t="s">
        <v>38</v>
      </c>
      <c r="O53" s="1" t="s">
        <v>1946</v>
      </c>
      <c r="T53" t="str">
        <f t="shared" si="0"/>
        <v>"Vertical eddy viscosity [AZ], m^2/s        "</v>
      </c>
    </row>
    <row r="54" spans="13:20" x14ac:dyDescent="0.3">
      <c r="N54" s="12" t="s">
        <v>39</v>
      </c>
      <c r="O54" s="1" t="s">
        <v>1947</v>
      </c>
      <c r="T54" t="str">
        <f t="shared" si="0"/>
        <v>"Velocity shear stress [SHEAR], 1/s^2       "</v>
      </c>
    </row>
    <row r="55" spans="13:20" x14ac:dyDescent="0.3">
      <c r="M55">
        <v>2</v>
      </c>
      <c r="N55" s="66" t="s">
        <v>578</v>
      </c>
      <c r="O55" s="5" t="s">
        <v>1948</v>
      </c>
      <c r="P55" s="4" t="s">
        <v>1949</v>
      </c>
    </row>
    <row r="56" spans="13:20" x14ac:dyDescent="0.3">
      <c r="N56" s="13">
        <v>1</v>
      </c>
      <c r="O56" s="6" t="s">
        <v>1119</v>
      </c>
      <c r="P56" s="6" t="s">
        <v>1950</v>
      </c>
      <c r="T56" t="str">
        <f>CHAR(34)&amp;P56&amp;CHAR(34)</f>
        <v>"TDS, g/m^3                                 "</v>
      </c>
    </row>
    <row r="57" spans="13:20" x14ac:dyDescent="0.3">
      <c r="N57" s="12">
        <v>2</v>
      </c>
      <c r="O57" s="6" t="s">
        <v>1120</v>
      </c>
      <c r="P57" s="6" t="s">
        <v>1951</v>
      </c>
      <c r="T57" t="str">
        <f t="shared" ref="T57:T62" si="1">CHAR(34)&amp;P57&amp;CHAR(34)</f>
        <v>"Age, days                                  "</v>
      </c>
    </row>
    <row r="58" spans="13:20" x14ac:dyDescent="0.3">
      <c r="N58" s="13">
        <v>3</v>
      </c>
      <c r="O58" s="6" t="s">
        <v>1121</v>
      </c>
      <c r="P58" s="6" t="s">
        <v>1952</v>
      </c>
      <c r="T58" t="str">
        <f t="shared" si="1"/>
        <v>"H2S-d, g/m^3                               "</v>
      </c>
    </row>
    <row r="59" spans="13:20" x14ac:dyDescent="0.3">
      <c r="N59" s="12">
        <v>4</v>
      </c>
      <c r="O59" s="6" t="s">
        <v>1122</v>
      </c>
      <c r="P59" s="6" t="s">
        <v>1953</v>
      </c>
      <c r="T59" t="str">
        <f t="shared" si="1"/>
        <v>"CH4-d, g/m^3                               "</v>
      </c>
    </row>
    <row r="60" spans="13:20" x14ac:dyDescent="0.3">
      <c r="N60" s="13">
        <v>5</v>
      </c>
      <c r="O60" s="6" t="s">
        <v>1954</v>
      </c>
      <c r="P60" s="6" t="s">
        <v>1955</v>
      </c>
      <c r="T60" t="str">
        <f t="shared" si="1"/>
        <v>"SO4, g/m^3                                 "</v>
      </c>
    </row>
    <row r="61" spans="13:20" x14ac:dyDescent="0.3">
      <c r="N61" s="12">
        <v>6</v>
      </c>
      <c r="O61" s="14" t="s">
        <v>1956</v>
      </c>
      <c r="P61" s="68" t="s">
        <v>1957</v>
      </c>
      <c r="T61" t="str">
        <f t="shared" si="1"/>
        <v>"Tracer, g/m^3                              "</v>
      </c>
    </row>
    <row r="62" spans="13:20" x14ac:dyDescent="0.3">
      <c r="N62" s="13">
        <v>7</v>
      </c>
      <c r="O62" s="14" t="s">
        <v>1958</v>
      </c>
      <c r="P62" s="68" t="s">
        <v>1959</v>
      </c>
      <c r="T62" t="str">
        <f t="shared" si="1"/>
        <v>"Turbidity/1000, NTU                        "</v>
      </c>
    </row>
    <row r="63" spans="13:20" x14ac:dyDescent="0.3">
      <c r="M63">
        <v>3</v>
      </c>
      <c r="N63" s="66" t="s">
        <v>1813</v>
      </c>
      <c r="O63" s="5" t="s">
        <v>580</v>
      </c>
      <c r="P63" s="5" t="s">
        <v>166</v>
      </c>
    </row>
    <row r="64" spans="13:20" x14ac:dyDescent="0.3">
      <c r="N64" s="12"/>
      <c r="O64" s="6" t="s">
        <v>1147</v>
      </c>
      <c r="P64" s="6" t="s">
        <v>1148</v>
      </c>
      <c r="T64" t="str">
        <f>CHAR(34)&amp;P64&amp;CHAR(34)</f>
        <v>"Dissolved organic carbon, g/m^3            "</v>
      </c>
    </row>
    <row r="65" spans="13:20" x14ac:dyDescent="0.3">
      <c r="N65" s="12"/>
      <c r="O65" s="6" t="s">
        <v>1149</v>
      </c>
      <c r="P65" s="6" t="s">
        <v>1150</v>
      </c>
      <c r="T65" t="str">
        <f t="shared" ref="T65:T68" si="2">CHAR(34)&amp;P65&amp;CHAR(34)</f>
        <v>"Particulate organic carbon, g/m^3          "</v>
      </c>
    </row>
    <row r="66" spans="13:20" x14ac:dyDescent="0.3">
      <c r="N66" s="12"/>
      <c r="O66" s="6" t="s">
        <v>1151</v>
      </c>
      <c r="P66" s="6" t="s">
        <v>1152</v>
      </c>
      <c r="T66" t="str">
        <f t="shared" si="2"/>
        <v>"Total organic carbon, g/m^3                "</v>
      </c>
    </row>
    <row r="67" spans="13:20" x14ac:dyDescent="0.3">
      <c r="N67" s="12"/>
      <c r="O67" s="6" t="s">
        <v>1153</v>
      </c>
      <c r="P67" s="6" t="s">
        <v>1154</v>
      </c>
      <c r="T67" t="str">
        <f t="shared" si="2"/>
        <v>"Dissolved organic nitrogen, g/m^3          "</v>
      </c>
    </row>
    <row r="68" spans="13:20" x14ac:dyDescent="0.3">
      <c r="N68" s="12"/>
      <c r="O68" s="6" t="s">
        <v>1155</v>
      </c>
      <c r="P68" s="6" t="s">
        <v>1156</v>
      </c>
      <c r="T68" t="str">
        <f t="shared" si="2"/>
        <v>"Particulate organic nitrogen, g/m^3        "</v>
      </c>
    </row>
    <row r="69" spans="13:20" x14ac:dyDescent="0.3">
      <c r="M69">
        <v>4</v>
      </c>
      <c r="N69" s="66" t="s">
        <v>0</v>
      </c>
      <c r="O69" s="38" t="s">
        <v>1071</v>
      </c>
    </row>
    <row r="70" spans="13:20" x14ac:dyDescent="0.3">
      <c r="N70" s="12" t="s">
        <v>548</v>
      </c>
      <c r="O70" s="6" t="s">
        <v>1960</v>
      </c>
      <c r="T70" t="str">
        <f>CHAR(34)&amp;O70&amp;CHAR(34)</f>
        <v>"CE-QUAL-W2 Model / Version 4.5"</v>
      </c>
    </row>
    <row r="71" spans="13:20" x14ac:dyDescent="0.3">
      <c r="N71" s="12"/>
      <c r="O71" s="6" t="s">
        <v>1961</v>
      </c>
      <c r="T71" t="str">
        <f t="shared" ref="T71:T79" si="3">CHAR(34)&amp;O71&amp;CHAR(34)</f>
        <v>"Oxbow Reservoir"</v>
      </c>
    </row>
    <row r="72" spans="13:20" x14ac:dyDescent="0.3">
      <c r="N72" s="12"/>
      <c r="O72" s="6" t="s">
        <v>1962</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1963</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C263" zoomScale="130" zoomScaleNormal="130" workbookViewId="0">
      <selection activeCell="D277" sqref="D277"/>
    </sheetView>
  </sheetViews>
  <sheetFormatPr defaultRowHeight="14.4" x14ac:dyDescent="0.3"/>
  <cols>
    <col min="1" max="1" width="84.33203125" style="27" customWidth="1"/>
    <col min="2" max="2" width="110.6640625" style="13"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2625</v>
      </c>
      <c r="D4" s="5"/>
      <c r="E4" s="5"/>
      <c r="F4" s="5"/>
      <c r="G4" s="5"/>
      <c r="H4" s="5"/>
      <c r="I4" s="5"/>
      <c r="J4" s="5"/>
      <c r="K4" s="5"/>
      <c r="L4" s="5"/>
      <c r="M4" s="5"/>
      <c r="N4" s="6"/>
    </row>
    <row r="5" spans="1:14" x14ac:dyDescent="0.3">
      <c r="A5" s="28" t="s">
        <v>1028</v>
      </c>
      <c r="B5" s="12"/>
      <c r="C5" s="6" t="s">
        <v>1326</v>
      </c>
      <c r="D5" s="5"/>
      <c r="E5" s="5"/>
      <c r="F5" s="5"/>
      <c r="G5" s="5"/>
      <c r="H5" s="5"/>
      <c r="I5" s="5"/>
      <c r="J5" s="5"/>
      <c r="K5" s="5"/>
      <c r="L5" s="5"/>
      <c r="M5" s="5"/>
      <c r="N5" s="6"/>
    </row>
    <row r="6" spans="1:14" x14ac:dyDescent="0.3">
      <c r="A6" s="28" t="s">
        <v>666</v>
      </c>
      <c r="B6" s="12"/>
      <c r="C6" s="6" t="s">
        <v>2559</v>
      </c>
      <c r="D6" s="5"/>
      <c r="E6" s="5"/>
      <c r="F6" s="5"/>
      <c r="G6" s="5"/>
      <c r="H6" s="5"/>
      <c r="I6" s="5"/>
      <c r="J6" s="5"/>
      <c r="K6" s="5"/>
      <c r="L6" s="5"/>
      <c r="M6" s="5"/>
      <c r="N6" s="6"/>
    </row>
    <row r="7" spans="1:14" x14ac:dyDescent="0.3">
      <c r="A7" s="27" t="s">
        <v>391</v>
      </c>
      <c r="B7" s="12"/>
      <c r="C7" s="6" t="s">
        <v>1360</v>
      </c>
      <c r="D7" s="5"/>
      <c r="E7" s="5"/>
      <c r="F7" s="5"/>
      <c r="G7" s="5"/>
      <c r="H7" s="5"/>
      <c r="I7" s="5"/>
      <c r="J7" s="5"/>
      <c r="K7" s="5"/>
      <c r="L7" s="5"/>
      <c r="M7" s="5"/>
      <c r="N7" s="6"/>
    </row>
    <row r="8" spans="1:14" x14ac:dyDescent="0.3">
      <c r="A8" s="27" t="s">
        <v>392</v>
      </c>
      <c r="B8" s="12"/>
      <c r="C8" s="6" t="s">
        <v>1361</v>
      </c>
      <c r="D8" s="5"/>
      <c r="E8" s="5"/>
      <c r="F8" s="5"/>
      <c r="G8" s="5"/>
      <c r="H8" s="5"/>
      <c r="I8" s="5"/>
      <c r="J8" s="5"/>
      <c r="K8" s="5"/>
      <c r="L8" s="5"/>
      <c r="M8" s="5"/>
      <c r="N8" s="6"/>
    </row>
    <row r="9" spans="1:14" x14ac:dyDescent="0.3">
      <c r="A9" s="27" t="s">
        <v>393</v>
      </c>
      <c r="B9" s="12"/>
      <c r="C9" s="6" t="s">
        <v>2598</v>
      </c>
      <c r="D9" s="5"/>
      <c r="E9" s="5"/>
      <c r="F9" s="5"/>
      <c r="G9" s="5"/>
      <c r="H9" s="5"/>
      <c r="I9" s="5"/>
      <c r="J9" s="5"/>
      <c r="K9" s="5"/>
      <c r="L9" s="5"/>
      <c r="M9" s="5"/>
      <c r="N9" s="6"/>
    </row>
    <row r="10" spans="1:14" x14ac:dyDescent="0.3">
      <c r="A10" s="27" t="s">
        <v>394</v>
      </c>
      <c r="B10" s="12"/>
      <c r="C10" s="6" t="s">
        <v>2597</v>
      </c>
      <c r="D10" s="5"/>
      <c r="E10" s="5"/>
      <c r="F10" s="5"/>
      <c r="G10" s="5"/>
      <c r="H10" s="5"/>
      <c r="I10" s="5"/>
      <c r="J10" s="5"/>
      <c r="K10" s="5"/>
      <c r="L10" s="5"/>
      <c r="M10" s="5"/>
      <c r="N10" s="6"/>
    </row>
    <row r="11" spans="1:14" x14ac:dyDescent="0.3">
      <c r="A11" s="27" t="s">
        <v>395</v>
      </c>
      <c r="B11" s="12"/>
      <c r="C11" s="6" t="s">
        <v>2599</v>
      </c>
      <c r="D11" s="5"/>
      <c r="E11" s="5"/>
      <c r="F11" s="5"/>
      <c r="G11" s="5"/>
      <c r="H11" s="5"/>
      <c r="I11" s="5"/>
      <c r="J11" s="5"/>
      <c r="K11" s="5"/>
      <c r="L11" s="5"/>
      <c r="M11" s="5"/>
      <c r="N11" s="6"/>
    </row>
    <row r="12" spans="1:14" x14ac:dyDescent="0.3">
      <c r="A12" s="27" t="s">
        <v>396</v>
      </c>
      <c r="B12" s="12"/>
      <c r="C12" s="6" t="s">
        <v>2600</v>
      </c>
      <c r="D12" s="5"/>
      <c r="E12" s="5"/>
      <c r="F12" s="5"/>
      <c r="G12" s="5"/>
      <c r="H12" s="5"/>
      <c r="I12" s="5"/>
      <c r="J12" s="5"/>
      <c r="K12" s="5"/>
      <c r="L12" s="5"/>
      <c r="M12" s="5"/>
      <c r="N12" s="6"/>
    </row>
    <row r="13" spans="1:14" x14ac:dyDescent="0.3">
      <c r="A13" s="27" t="s">
        <v>397</v>
      </c>
      <c r="B13" s="12"/>
      <c r="C13" s="6" t="s">
        <v>2610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83</v>
      </c>
      <c r="F16" s="6">
        <v>135</v>
      </c>
      <c r="G16" s="6">
        <v>1</v>
      </c>
      <c r="H16" s="6" t="s">
        <v>1077</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1</v>
      </c>
      <c r="D19" s="6">
        <v>1</v>
      </c>
      <c r="E19" s="6">
        <v>0</v>
      </c>
      <c r="F19" s="6">
        <v>2</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1753</v>
      </c>
      <c r="J24" s="5" t="s">
        <v>2554</v>
      </c>
      <c r="K24" s="5"/>
      <c r="L24" s="5"/>
      <c r="M24" s="5"/>
    </row>
    <row r="25" spans="1:23" x14ac:dyDescent="0.3">
      <c r="A25" s="29" t="s">
        <v>988</v>
      </c>
      <c r="B25" s="12"/>
      <c r="C25" s="6">
        <v>365</v>
      </c>
      <c r="D25" s="6" t="s">
        <v>1077</v>
      </c>
      <c r="E25" s="6" t="s">
        <v>1077</v>
      </c>
      <c r="F25" s="6" t="s">
        <v>17</v>
      </c>
      <c r="G25" s="6" t="s">
        <v>17</v>
      </c>
      <c r="H25" s="6" t="s">
        <v>1077</v>
      </c>
      <c r="I25" s="6" t="s">
        <v>17</v>
      </c>
      <c r="J25" s="6" t="s">
        <v>17</v>
      </c>
      <c r="K25" s="5"/>
      <c r="L25" s="5"/>
      <c r="M25" s="5"/>
      <c r="N25" t="s">
        <v>1663</v>
      </c>
    </row>
    <row r="26" spans="1:23" x14ac:dyDescent="0.3">
      <c r="A26" s="29" t="s">
        <v>989</v>
      </c>
      <c r="B26" s="19"/>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1"/>
      <c r="G27" s="5"/>
      <c r="H27" s="5"/>
      <c r="I27" s="5"/>
      <c r="J27" s="5"/>
      <c r="K27" s="5"/>
      <c r="L27" s="5"/>
      <c r="M27" s="5"/>
      <c r="N27" t="s">
        <v>1660</v>
      </c>
      <c r="O27" t="s">
        <v>1661</v>
      </c>
    </row>
    <row r="28" spans="1:23" x14ac:dyDescent="0.3">
      <c r="A28" s="29" t="s">
        <v>991</v>
      </c>
      <c r="B28" s="12" t="s">
        <v>1664</v>
      </c>
      <c r="C28" s="58">
        <v>1</v>
      </c>
      <c r="D28" s="6">
        <v>366</v>
      </c>
      <c r="E28" s="6">
        <v>2018</v>
      </c>
      <c r="F28" s="4"/>
      <c r="G28" s="5"/>
      <c r="H28" s="5"/>
      <c r="I28" s="5"/>
      <c r="J28" s="5"/>
      <c r="K28" s="5"/>
      <c r="L28" s="5"/>
      <c r="M28" s="5"/>
      <c r="N28" s="57">
        <f>N26+DATEVALUE("1/1/1980")-1</f>
        <v>29284.5</v>
      </c>
      <c r="O28" s="57">
        <f>O26+DATEVALUE("1/1/1980")-1</f>
        <v>29578.7</v>
      </c>
      <c r="P28" s="25"/>
    </row>
    <row r="29" spans="1:23" x14ac:dyDescent="0.3">
      <c r="A29" s="47" t="s">
        <v>2558</v>
      </c>
      <c r="B29" s="19"/>
      <c r="C29" s="5" t="s">
        <v>518</v>
      </c>
      <c r="D29" s="5"/>
      <c r="E29" s="5"/>
      <c r="F29" s="5"/>
      <c r="G29" s="5"/>
      <c r="H29" s="5"/>
      <c r="I29" s="5"/>
      <c r="J29" s="5"/>
      <c r="K29" s="5"/>
      <c r="L29" s="5"/>
      <c r="M29" s="5"/>
      <c r="P29" s="25"/>
    </row>
    <row r="30" spans="1:23" x14ac:dyDescent="0.3">
      <c r="A30" s="59" t="s">
        <v>1662</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6">
        <v>0.1</v>
      </c>
      <c r="E31" s="6" t="s">
        <v>1077</v>
      </c>
      <c r="F31" s="5"/>
      <c r="G31" s="5"/>
      <c r="H31" s="5"/>
      <c r="I31" s="5"/>
      <c r="J31" s="5"/>
      <c r="K31" s="5"/>
      <c r="L31" s="5"/>
      <c r="M31" s="5"/>
      <c r="P31" s="25"/>
    </row>
    <row r="32" spans="1:23" x14ac:dyDescent="0.3">
      <c r="A32" s="60">
        <v>29284.5</v>
      </c>
      <c r="B32" s="19"/>
      <c r="C32" s="5" t="s">
        <v>518</v>
      </c>
      <c r="D32" s="5"/>
      <c r="E32" s="5"/>
      <c r="F32" s="5"/>
      <c r="G32" s="5"/>
      <c r="H32" s="5"/>
      <c r="I32" s="5"/>
      <c r="J32" s="5"/>
      <c r="K32" s="5"/>
      <c r="L32" s="5"/>
      <c r="M32" s="5"/>
      <c r="O32" s="25"/>
      <c r="P32" s="25"/>
    </row>
    <row r="33" spans="1:16" x14ac:dyDescent="0.3">
      <c r="A33" s="59" t="s">
        <v>1661</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29578.7</v>
      </c>
      <c r="B34" s="12" t="s">
        <v>361</v>
      </c>
      <c r="C34" s="6">
        <v>1</v>
      </c>
      <c r="D34" s="6"/>
      <c r="E34" s="6"/>
      <c r="F34" s="6"/>
      <c r="G34" s="6"/>
      <c r="H34" s="6"/>
      <c r="I34" s="5"/>
      <c r="J34" s="5"/>
      <c r="K34" s="5"/>
      <c r="L34" s="5"/>
      <c r="M34" s="5"/>
    </row>
    <row r="35" spans="1:16" x14ac:dyDescent="0.3">
      <c r="A35" s="81">
        <f>A32-DATEVALUE("1/1/"&amp;A38)+1</f>
        <v>64.5</v>
      </c>
      <c r="B35" s="19"/>
      <c r="C35" s="5" t="s">
        <v>518</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1936</v>
      </c>
      <c r="B37" s="12" t="s">
        <v>459</v>
      </c>
      <c r="C37" s="6">
        <v>600</v>
      </c>
      <c r="D37" s="6"/>
      <c r="E37" s="6"/>
      <c r="F37" s="6"/>
      <c r="G37" s="6"/>
      <c r="H37" s="6"/>
      <c r="I37" s="5"/>
      <c r="J37" s="5"/>
      <c r="K37" s="5"/>
      <c r="L37" s="5"/>
      <c r="M37" s="5"/>
    </row>
    <row r="38" spans="1:16" x14ac:dyDescent="0.3">
      <c r="A38" s="82">
        <f>YEAR(A32)</f>
        <v>1980</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6">
        <v>0.9</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17</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55</v>
      </c>
      <c r="E48" s="5">
        <v>61</v>
      </c>
      <c r="F48" s="5">
        <v>73</v>
      </c>
      <c r="G48" s="5"/>
      <c r="H48" s="5"/>
      <c r="I48" s="5"/>
      <c r="J48" s="5"/>
      <c r="K48" s="5"/>
      <c r="L48" s="5"/>
      <c r="M48" s="5"/>
    </row>
    <row r="49" spans="2:13" x14ac:dyDescent="0.3">
      <c r="B49" s="12" t="s">
        <v>466</v>
      </c>
      <c r="C49" s="6">
        <v>52</v>
      </c>
      <c r="D49" s="6">
        <v>58</v>
      </c>
      <c r="E49" s="5">
        <v>70</v>
      </c>
      <c r="F49" s="5">
        <v>82</v>
      </c>
      <c r="G49" s="5"/>
      <c r="H49" s="5"/>
      <c r="I49" s="5"/>
      <c r="J49" s="5"/>
      <c r="K49" s="5"/>
      <c r="L49" s="5"/>
      <c r="M49" s="5"/>
    </row>
    <row r="50" spans="2:13" x14ac:dyDescent="0.3">
      <c r="B50" s="12" t="s">
        <v>1381</v>
      </c>
      <c r="C50" s="6">
        <v>0</v>
      </c>
      <c r="D50" s="6">
        <v>0</v>
      </c>
      <c r="E50" s="5">
        <v>0</v>
      </c>
      <c r="F50" s="5">
        <v>0</v>
      </c>
      <c r="G50" s="5"/>
      <c r="H50" s="5"/>
      <c r="I50" s="5"/>
      <c r="J50" s="5"/>
      <c r="K50" s="5"/>
      <c r="L50" s="5"/>
      <c r="M50" s="5"/>
    </row>
    <row r="51" spans="2:13" x14ac:dyDescent="0.3">
      <c r="B51" s="12" t="s">
        <v>465</v>
      </c>
      <c r="C51" s="6">
        <v>0</v>
      </c>
      <c r="D51" s="6">
        <v>10</v>
      </c>
      <c r="E51" s="5">
        <v>48</v>
      </c>
      <c r="F51" s="5">
        <v>68</v>
      </c>
      <c r="G51" s="5"/>
      <c r="H51" s="5"/>
      <c r="I51" s="5"/>
      <c r="J51" s="5"/>
      <c r="K51" s="5"/>
      <c r="L51" s="5"/>
      <c r="M51" s="5"/>
    </row>
    <row r="52" spans="2:13" x14ac:dyDescent="0.3">
      <c r="B52" s="12" t="s">
        <v>464</v>
      </c>
      <c r="C52" s="6">
        <v>2</v>
      </c>
      <c r="D52" s="6">
        <v>2</v>
      </c>
      <c r="E52" s="5">
        <v>2</v>
      </c>
      <c r="F52" s="5">
        <v>2</v>
      </c>
      <c r="G52" s="5"/>
      <c r="H52" s="5"/>
      <c r="I52" s="5"/>
      <c r="J52" s="5"/>
      <c r="K52" s="5"/>
      <c r="L52" s="5"/>
      <c r="M52" s="5"/>
    </row>
    <row r="53" spans="2:13" x14ac:dyDescent="0.3">
      <c r="B53" s="12" t="s">
        <v>468</v>
      </c>
      <c r="C53" s="6">
        <v>0</v>
      </c>
      <c r="D53" s="6">
        <v>0</v>
      </c>
      <c r="E53" s="5">
        <v>0</v>
      </c>
      <c r="F53" s="5">
        <v>0</v>
      </c>
      <c r="G53" s="5"/>
      <c r="H53" s="5"/>
      <c r="I53" s="5"/>
      <c r="J53" s="5"/>
      <c r="K53" s="5"/>
      <c r="L53" s="5"/>
      <c r="M53" s="5"/>
    </row>
    <row r="54" spans="2:13" x14ac:dyDescent="0.3">
      <c r="B54" s="12" t="s">
        <v>469</v>
      </c>
      <c r="C54" s="6">
        <v>0</v>
      </c>
      <c r="D54" s="6">
        <v>0</v>
      </c>
      <c r="E54" s="5">
        <v>0</v>
      </c>
      <c r="F54" s="5">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40.801433000000003</v>
      </c>
      <c r="D57" s="5"/>
      <c r="E57" s="5"/>
      <c r="F57" s="5"/>
      <c r="G57" s="5"/>
      <c r="H57" s="5"/>
      <c r="I57" s="5"/>
      <c r="J57" s="5"/>
      <c r="K57" s="5"/>
      <c r="L57" s="5"/>
      <c r="M57" s="5"/>
    </row>
    <row r="58" spans="2:13" x14ac:dyDescent="0.3">
      <c r="B58" s="12" t="s">
        <v>549</v>
      </c>
      <c r="C58" s="6">
        <v>122.76309999999999</v>
      </c>
      <c r="D58" s="5"/>
      <c r="E58" s="5"/>
      <c r="F58" s="5"/>
      <c r="G58" s="5"/>
      <c r="H58" s="5"/>
      <c r="I58" s="5"/>
      <c r="J58" s="5"/>
      <c r="K58" s="5"/>
      <c r="L58" s="5"/>
      <c r="M58" s="5"/>
    </row>
    <row r="59" spans="2:13" x14ac:dyDescent="0.3">
      <c r="B59" s="12" t="s">
        <v>551</v>
      </c>
      <c r="C59" s="6">
        <v>590.37699999999995</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1</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6">
        <v>-1</v>
      </c>
      <c r="D65" s="5"/>
      <c r="E65" s="5"/>
      <c r="F65" s="5"/>
      <c r="G65" s="5"/>
      <c r="H65" s="5"/>
      <c r="I65" s="5"/>
      <c r="J65" s="5"/>
      <c r="K65" s="5"/>
      <c r="L65" s="5"/>
      <c r="M65" s="5"/>
    </row>
    <row r="66" spans="2:13" x14ac:dyDescent="0.3">
      <c r="B66" s="12" t="s">
        <v>348</v>
      </c>
      <c r="C66" s="6">
        <v>0</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1095</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2</v>
      </c>
      <c r="D71" s="5"/>
      <c r="E71" s="5"/>
      <c r="F71" s="5"/>
      <c r="G71" s="5"/>
      <c r="H71" s="5"/>
      <c r="I71" s="5"/>
      <c r="J71" s="5"/>
      <c r="K71" s="5"/>
      <c r="L71" s="5"/>
      <c r="M71" s="5"/>
    </row>
    <row r="72" spans="2:13" x14ac:dyDescent="0.3">
      <c r="B72" s="12" t="s">
        <v>341</v>
      </c>
      <c r="C72" s="6" t="s">
        <v>1077</v>
      </c>
      <c r="D72" s="5"/>
      <c r="E72" s="5"/>
      <c r="F72" s="5"/>
      <c r="G72" s="5"/>
      <c r="H72" s="5"/>
      <c r="I72" s="5"/>
      <c r="J72" s="5"/>
      <c r="K72" s="5"/>
      <c r="L72" s="5"/>
      <c r="M72" s="5"/>
    </row>
    <row r="73" spans="2:13" x14ac:dyDescent="0.3">
      <c r="B73" s="12" t="s">
        <v>343</v>
      </c>
      <c r="C73" s="6" t="s">
        <v>17</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1077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17</v>
      </c>
      <c r="D85" s="6" t="s">
        <v>17</v>
      </c>
      <c r="E85" s="5" t="s">
        <v>1077</v>
      </c>
      <c r="F85" s="5" t="s">
        <v>17</v>
      </c>
      <c r="G85" s="5"/>
      <c r="H85" s="5"/>
      <c r="I85" s="5"/>
      <c r="J85" s="5"/>
      <c r="K85" s="5"/>
      <c r="L85" s="5"/>
      <c r="M85" s="5"/>
    </row>
    <row r="86" spans="2:13" x14ac:dyDescent="0.3">
      <c r="B86" s="12" t="s">
        <v>333</v>
      </c>
      <c r="C86" s="6" t="s">
        <v>1077</v>
      </c>
      <c r="D86" s="6" t="s">
        <v>1077</v>
      </c>
      <c r="E86" s="5" t="s">
        <v>1077</v>
      </c>
      <c r="F86" s="5" t="s">
        <v>1077</v>
      </c>
      <c r="G86" s="5"/>
      <c r="H86" s="5"/>
      <c r="I86" s="5"/>
      <c r="J86" s="5"/>
      <c r="K86" s="5"/>
      <c r="L86" s="5"/>
      <c r="M86" s="5"/>
    </row>
    <row r="87" spans="2:13" x14ac:dyDescent="0.3">
      <c r="B87" s="12" t="s">
        <v>334</v>
      </c>
      <c r="C87" s="6" t="s">
        <v>1077</v>
      </c>
      <c r="D87" s="6" t="s">
        <v>1077</v>
      </c>
      <c r="E87" s="5" t="s">
        <v>1077</v>
      </c>
      <c r="F87" s="5"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2609</v>
      </c>
      <c r="D90" s="5"/>
      <c r="E90" s="5"/>
      <c r="F90" s="5"/>
      <c r="G90" s="5"/>
      <c r="H90" s="5"/>
      <c r="I90" s="5"/>
      <c r="J90" s="5"/>
      <c r="K90" s="5"/>
      <c r="L90" s="5"/>
      <c r="M90" s="5"/>
    </row>
    <row r="91" spans="2:13" x14ac:dyDescent="0.3">
      <c r="B91" s="12" t="s">
        <v>984</v>
      </c>
      <c r="C91" s="6" t="s">
        <v>2</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1382</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6">
        <v>9.1999999999999993</v>
      </c>
      <c r="D95" s="5"/>
      <c r="E95" s="5"/>
      <c r="F95" s="5"/>
      <c r="G95" s="5"/>
      <c r="H95" s="5"/>
      <c r="I95" s="5"/>
      <c r="J95" s="5"/>
      <c r="K95" s="5"/>
      <c r="L95" s="5"/>
      <c r="M95" s="5"/>
    </row>
    <row r="96" spans="2:13" x14ac:dyDescent="0.3">
      <c r="B96" s="12" t="s">
        <v>353</v>
      </c>
      <c r="C96" s="6">
        <v>0.46</v>
      </c>
      <c r="D96" s="5"/>
      <c r="E96" s="5"/>
      <c r="F96" s="5"/>
      <c r="G96" s="5"/>
      <c r="H96" s="5"/>
      <c r="I96" s="5"/>
      <c r="J96" s="5"/>
      <c r="K96" s="5"/>
      <c r="L96" s="5"/>
      <c r="M96" s="5"/>
    </row>
    <row r="97" spans="2:13" x14ac:dyDescent="0.3">
      <c r="B97" s="12" t="s">
        <v>354</v>
      </c>
      <c r="C97" s="6">
        <v>2</v>
      </c>
      <c r="D97" s="5"/>
      <c r="E97" s="5"/>
      <c r="F97" s="5"/>
      <c r="G97" s="5"/>
      <c r="H97" s="5"/>
      <c r="I97" s="5"/>
      <c r="J97" s="5"/>
      <c r="K97" s="5"/>
      <c r="L97" s="5"/>
      <c r="M97" s="5"/>
    </row>
    <row r="98" spans="2:13" x14ac:dyDescent="0.3">
      <c r="B98" s="12" t="s">
        <v>355</v>
      </c>
      <c r="C98" s="6">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1327</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6">
        <v>10</v>
      </c>
      <c r="D104" s="5"/>
      <c r="E104" s="5"/>
      <c r="F104" s="5"/>
      <c r="G104" s="5"/>
      <c r="H104" s="5"/>
      <c r="I104" s="5"/>
      <c r="J104" s="5"/>
      <c r="K104" s="5"/>
      <c r="L104" s="5"/>
      <c r="M104" s="5"/>
    </row>
    <row r="105" spans="2:13" x14ac:dyDescent="0.3">
      <c r="B105" s="12" t="s">
        <v>323</v>
      </c>
      <c r="C105" s="6">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6">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1328</v>
      </c>
      <c r="D111" s="5"/>
      <c r="E111" s="5"/>
      <c r="F111" s="5"/>
      <c r="G111" s="5"/>
      <c r="H111" s="5"/>
      <c r="I111" s="5"/>
      <c r="J111" s="5"/>
      <c r="K111" s="5"/>
      <c r="L111" s="5"/>
      <c r="M111" s="5"/>
    </row>
    <row r="112" spans="2:13" x14ac:dyDescent="0.3">
      <c r="B112" s="12" t="s">
        <v>1383</v>
      </c>
      <c r="C112" s="6">
        <v>0.5</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0.9</v>
      </c>
      <c r="D115" s="5"/>
      <c r="E115" s="5"/>
      <c r="F115" s="5"/>
      <c r="G115" s="5"/>
      <c r="H115" s="5"/>
      <c r="I115" s="5"/>
      <c r="J115" s="5"/>
      <c r="K115" s="5"/>
      <c r="L115" s="5"/>
      <c r="M115" s="5"/>
    </row>
    <row r="116" spans="2:13" x14ac:dyDescent="0.3">
      <c r="B116" s="12" t="s">
        <v>271</v>
      </c>
      <c r="C116" s="6">
        <v>0.9</v>
      </c>
      <c r="D116" s="5"/>
      <c r="E116" s="5"/>
      <c r="F116" s="5"/>
      <c r="G116" s="5"/>
      <c r="H116" s="5"/>
      <c r="I116" s="5"/>
      <c r="J116" s="5"/>
      <c r="K116" s="5"/>
      <c r="L116" s="5"/>
      <c r="M116" s="5"/>
    </row>
    <row r="117" spans="2:13" x14ac:dyDescent="0.3">
      <c r="B117" s="12" t="s">
        <v>1384</v>
      </c>
      <c r="C117" s="6">
        <v>0.1</v>
      </c>
      <c r="D117" s="5"/>
      <c r="E117" s="5"/>
      <c r="F117" s="5"/>
      <c r="G117" s="5"/>
      <c r="H117" s="5"/>
      <c r="I117" s="5"/>
      <c r="J117" s="5"/>
      <c r="K117" s="5"/>
      <c r="L117" s="5"/>
      <c r="M117" s="5"/>
    </row>
    <row r="118" spans="2:13" x14ac:dyDescent="0.3">
      <c r="B118" s="12" t="s">
        <v>1385</v>
      </c>
      <c r="C118" s="6">
        <v>14.5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2560</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2608</v>
      </c>
      <c r="D125" s="5"/>
      <c r="E125" s="5"/>
      <c r="F125" s="5"/>
      <c r="G125" s="5"/>
      <c r="H125" s="5"/>
      <c r="I125" s="5"/>
      <c r="J125" s="5"/>
      <c r="K125" s="5"/>
      <c r="L125" s="5"/>
      <c r="M125" s="5"/>
    </row>
    <row r="126" spans="2:13" x14ac:dyDescent="0.3">
      <c r="B126" s="12" t="s">
        <v>974</v>
      </c>
      <c r="C126" s="6" t="s">
        <v>1097</v>
      </c>
      <c r="D126" s="5"/>
      <c r="E126" s="5"/>
      <c r="F126" s="5"/>
      <c r="G126" s="5"/>
      <c r="H126" s="5"/>
      <c r="I126" s="5"/>
      <c r="J126" s="5"/>
      <c r="K126" s="5"/>
      <c r="L126" s="5"/>
      <c r="M126" s="5"/>
    </row>
    <row r="127" spans="2:13" x14ac:dyDescent="0.3">
      <c r="B127" s="12" t="s">
        <v>973</v>
      </c>
      <c r="C127" s="6">
        <v>1</v>
      </c>
      <c r="D127" s="5"/>
      <c r="E127" s="5"/>
      <c r="F127" s="5"/>
      <c r="G127" s="5"/>
      <c r="H127" s="5"/>
      <c r="I127" s="5"/>
      <c r="J127" s="5"/>
      <c r="K127" s="5"/>
      <c r="L127" s="5"/>
      <c r="M127" s="5"/>
    </row>
    <row r="128" spans="2:13" x14ac:dyDescent="0.3">
      <c r="B128" s="12" t="s">
        <v>1386</v>
      </c>
      <c r="C128" s="6">
        <v>3</v>
      </c>
      <c r="D128" s="5"/>
      <c r="E128" s="5"/>
      <c r="F128" s="5"/>
      <c r="G128" s="5"/>
      <c r="H128" s="5"/>
      <c r="I128" s="5"/>
      <c r="J128" s="5"/>
      <c r="K128" s="5"/>
      <c r="L128" s="5"/>
      <c r="M128" s="5"/>
    </row>
    <row r="129" spans="1:17" x14ac:dyDescent="0.3">
      <c r="B129" s="12" t="s">
        <v>976</v>
      </c>
      <c r="C129" s="6">
        <v>9.5350000000000001</v>
      </c>
      <c r="D129" s="5"/>
      <c r="E129" s="5"/>
      <c r="F129" s="5"/>
      <c r="G129" s="5"/>
      <c r="H129" s="5"/>
      <c r="I129" s="5"/>
      <c r="J129" s="5"/>
      <c r="K129" s="5"/>
      <c r="L129" s="5"/>
      <c r="M129" s="5"/>
    </row>
    <row r="130" spans="1:17" x14ac:dyDescent="0.3">
      <c r="B130" s="12" t="s">
        <v>977</v>
      </c>
      <c r="C130" s="6">
        <v>0.43</v>
      </c>
      <c r="D130" s="5"/>
      <c r="E130" s="5"/>
      <c r="F130" s="5"/>
      <c r="G130" s="5"/>
      <c r="H130" s="5"/>
      <c r="I130" s="5"/>
      <c r="J130" s="5"/>
      <c r="K130" s="5"/>
      <c r="L130" s="5"/>
      <c r="M130" s="5"/>
    </row>
    <row r="131" spans="1:17" x14ac:dyDescent="0.3">
      <c r="B131" s="12" t="s">
        <v>978</v>
      </c>
      <c r="C131" s="6">
        <v>24</v>
      </c>
      <c r="D131" s="5"/>
      <c r="E131" s="5"/>
      <c r="F131" s="5"/>
      <c r="G131" s="5"/>
      <c r="H131" s="5"/>
      <c r="I131" s="5"/>
      <c r="J131" s="5"/>
      <c r="K131" s="5"/>
      <c r="L131" s="5"/>
      <c r="M131" s="5"/>
    </row>
    <row r="132" spans="1:17" x14ac:dyDescent="0.3">
      <c r="B132" s="12" t="s">
        <v>979</v>
      </c>
      <c r="C132" s="6">
        <v>10</v>
      </c>
      <c r="D132" s="5"/>
      <c r="E132" s="5"/>
      <c r="F132" s="5"/>
      <c r="G132" s="5"/>
      <c r="H132" s="5"/>
      <c r="I132" s="5"/>
      <c r="J132" s="5"/>
      <c r="K132" s="5"/>
      <c r="L132" s="5"/>
      <c r="M132" s="5"/>
    </row>
    <row r="133" spans="1:17" x14ac:dyDescent="0.3">
      <c r="B133" s="12" t="s">
        <v>980</v>
      </c>
      <c r="C133" s="6" t="s">
        <v>1097</v>
      </c>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5">
        <v>0</v>
      </c>
      <c r="F136" s="5">
        <v>0</v>
      </c>
      <c r="G136" s="5"/>
      <c r="H136" s="5"/>
      <c r="I136" s="5"/>
      <c r="J136" s="5"/>
      <c r="K136" s="5"/>
      <c r="L136" s="5"/>
      <c r="M136" s="5"/>
    </row>
    <row r="137" spans="1:17" x14ac:dyDescent="0.3">
      <c r="A137" s="27" t="s">
        <v>1003</v>
      </c>
      <c r="B137" s="12" t="s">
        <v>1772</v>
      </c>
      <c r="C137" s="6" t="s">
        <v>1077</v>
      </c>
      <c r="D137" s="6" t="s">
        <v>17</v>
      </c>
      <c r="E137" s="5" t="s">
        <v>1077</v>
      </c>
      <c r="F137" s="5" t="s">
        <v>1077</v>
      </c>
      <c r="G137" s="5"/>
      <c r="H137" s="5"/>
      <c r="I137" s="5"/>
      <c r="J137" s="5"/>
      <c r="K137" s="5"/>
      <c r="L137" s="5"/>
      <c r="M137" s="5"/>
    </row>
    <row r="138" spans="1:17" x14ac:dyDescent="0.3">
      <c r="A138" s="27" t="s">
        <v>1004</v>
      </c>
      <c r="B138" s="12" t="s">
        <v>966</v>
      </c>
      <c r="C138" s="6" t="s">
        <v>17</v>
      </c>
      <c r="D138" s="6"/>
      <c r="E138" s="5"/>
      <c r="F138" s="5"/>
      <c r="G138" s="5"/>
      <c r="H138" s="5"/>
      <c r="I138" s="5"/>
      <c r="J138" s="5"/>
      <c r="K138" s="5"/>
      <c r="L138" s="5"/>
      <c r="M138" s="5"/>
    </row>
    <row r="139" spans="1:17" x14ac:dyDescent="0.3">
      <c r="B139" s="12" t="s">
        <v>967</v>
      </c>
      <c r="C139" s="6" t="s">
        <v>518</v>
      </c>
      <c r="D139" s="6"/>
      <c r="E139" s="5"/>
      <c r="F139" s="5"/>
      <c r="G139" s="5"/>
      <c r="H139" s="5"/>
      <c r="I139" s="5"/>
      <c r="J139" s="5"/>
      <c r="K139" s="5"/>
      <c r="L139" s="5"/>
      <c r="M139" s="5"/>
    </row>
    <row r="140" spans="1:17" x14ac:dyDescent="0.3">
      <c r="B140" s="12" t="s">
        <v>968</v>
      </c>
      <c r="C140" s="6" t="s">
        <v>518</v>
      </c>
      <c r="D140" s="6"/>
      <c r="E140" s="5"/>
      <c r="F140" s="5"/>
      <c r="G140" s="5"/>
      <c r="H140" s="5"/>
      <c r="I140" s="5"/>
      <c r="J140" s="5"/>
      <c r="K140" s="5"/>
      <c r="L140" s="5"/>
      <c r="M140" s="5"/>
    </row>
    <row r="141" spans="1:17" x14ac:dyDescent="0.3">
      <c r="B141" s="12" t="s">
        <v>969</v>
      </c>
      <c r="C141" s="6" t="s">
        <v>518</v>
      </c>
      <c r="D141" s="6"/>
      <c r="E141" s="5"/>
      <c r="F141" s="5"/>
      <c r="G141" s="5"/>
      <c r="H141" s="5"/>
      <c r="I141" s="5"/>
      <c r="J141" s="5"/>
      <c r="K141" s="5"/>
      <c r="L141" s="5"/>
      <c r="M141" s="5"/>
    </row>
    <row r="142" spans="1:17" x14ac:dyDescent="0.3">
      <c r="A142" s="24" t="s">
        <v>1068</v>
      </c>
      <c r="B142" s="12" t="s">
        <v>970</v>
      </c>
      <c r="C142" s="6" t="s">
        <v>518</v>
      </c>
      <c r="D142" s="6"/>
      <c r="E142" s="5"/>
      <c r="F142" s="5"/>
      <c r="G142" s="5"/>
      <c r="H142" s="5"/>
      <c r="I142" s="5"/>
      <c r="J142" s="5"/>
      <c r="K142" s="5"/>
      <c r="L142" s="5"/>
      <c r="M142" s="5"/>
      <c r="O142" s="1"/>
      <c r="P142" s="1"/>
      <c r="Q142" s="1"/>
    </row>
    <row r="143" spans="1:17" x14ac:dyDescent="0.3">
      <c r="A143" t="s">
        <v>243</v>
      </c>
      <c r="B143" s="12" t="s">
        <v>961</v>
      </c>
      <c r="C143" s="6">
        <v>2</v>
      </c>
      <c r="D143" s="6"/>
      <c r="E143" s="5"/>
      <c r="F143" s="5"/>
      <c r="G143" s="5"/>
      <c r="H143" s="5"/>
      <c r="I143" s="5"/>
      <c r="J143" s="5"/>
      <c r="K143" s="5"/>
      <c r="L143" s="5"/>
      <c r="M143" s="5"/>
    </row>
    <row r="144" spans="1:17" x14ac:dyDescent="0.3">
      <c r="B144" s="12" t="s">
        <v>962</v>
      </c>
      <c r="C144" s="6" t="s">
        <v>518</v>
      </c>
      <c r="D144" s="6"/>
      <c r="E144" s="5"/>
      <c r="F144" s="5"/>
      <c r="G144" s="5"/>
      <c r="H144" s="5"/>
      <c r="I144" s="5"/>
      <c r="J144" s="5"/>
      <c r="K144" s="5"/>
      <c r="L144" s="5"/>
      <c r="M144" s="5"/>
    </row>
    <row r="145" spans="1:13" x14ac:dyDescent="0.3">
      <c r="B145" s="12" t="s">
        <v>963</v>
      </c>
      <c r="C145" s="6" t="s">
        <v>518</v>
      </c>
      <c r="D145" s="6"/>
      <c r="E145" s="5"/>
      <c r="F145" s="5"/>
      <c r="G145" s="5"/>
      <c r="H145" s="5"/>
      <c r="I145" s="5"/>
      <c r="J145" s="5"/>
      <c r="K145" s="5"/>
      <c r="L145" s="5"/>
      <c r="M145" s="5"/>
    </row>
    <row r="146" spans="1:13" x14ac:dyDescent="0.3">
      <c r="B146" s="12" t="s">
        <v>964</v>
      </c>
      <c r="C146" s="6" t="s">
        <v>518</v>
      </c>
      <c r="D146" s="6"/>
      <c r="E146" s="5"/>
      <c r="F146" s="5"/>
      <c r="G146" s="5"/>
      <c r="H146" s="5"/>
      <c r="I146" s="5"/>
      <c r="J146" s="5"/>
      <c r="K146" s="5"/>
      <c r="L146" s="5"/>
      <c r="M146" s="5"/>
    </row>
    <row r="147" spans="1:13" x14ac:dyDescent="0.3">
      <c r="A147" s="24" t="s">
        <v>1068</v>
      </c>
      <c r="B147" s="12" t="s">
        <v>965</v>
      </c>
      <c r="C147" s="6" t="s">
        <v>518</v>
      </c>
      <c r="D147" s="6"/>
      <c r="E147" s="5"/>
      <c r="F147" s="5"/>
      <c r="G147" s="5"/>
      <c r="H147" s="5"/>
      <c r="I147" s="5"/>
      <c r="J147" s="5"/>
      <c r="K147" s="5"/>
      <c r="L147" s="5"/>
      <c r="M147" s="5"/>
    </row>
    <row r="148" spans="1:13" x14ac:dyDescent="0.3">
      <c r="B148" s="12" t="s">
        <v>956</v>
      </c>
      <c r="C148" s="6">
        <v>134</v>
      </c>
      <c r="D148" s="6"/>
      <c r="E148" s="5"/>
      <c r="F148" s="5"/>
      <c r="G148" s="5"/>
      <c r="H148" s="5"/>
      <c r="I148" s="5"/>
      <c r="J148" s="5"/>
      <c r="K148" s="5"/>
      <c r="L148" s="5"/>
      <c r="M148" s="5"/>
    </row>
    <row r="149" spans="1:13" x14ac:dyDescent="0.3">
      <c r="B149" s="12" t="s">
        <v>957</v>
      </c>
      <c r="C149" s="6" t="s">
        <v>518</v>
      </c>
      <c r="D149" s="6"/>
      <c r="E149" s="5"/>
      <c r="F149" s="5"/>
      <c r="G149" s="5"/>
      <c r="H149" s="5"/>
      <c r="I149" s="5"/>
      <c r="J149" s="5"/>
      <c r="K149" s="5"/>
      <c r="L149" s="5"/>
      <c r="M149" s="5"/>
    </row>
    <row r="150" spans="1:13" x14ac:dyDescent="0.3">
      <c r="B150" s="12" t="s">
        <v>958</v>
      </c>
      <c r="C150" s="6" t="s">
        <v>518</v>
      </c>
      <c r="D150" s="6"/>
      <c r="E150" s="5"/>
      <c r="F150" s="5"/>
      <c r="G150" s="5"/>
      <c r="H150" s="5"/>
      <c r="I150" s="5"/>
      <c r="J150" s="5"/>
      <c r="K150" s="5"/>
      <c r="L150" s="5"/>
      <c r="M150" s="5"/>
    </row>
    <row r="151" spans="1:13" x14ac:dyDescent="0.3">
      <c r="B151" s="12" t="s">
        <v>959</v>
      </c>
      <c r="C151" s="6" t="s">
        <v>518</v>
      </c>
      <c r="D151" s="6"/>
      <c r="E151" s="5"/>
      <c r="F151" s="5"/>
      <c r="G151" s="5"/>
      <c r="H151" s="5"/>
      <c r="I151" s="5"/>
      <c r="J151" s="5"/>
      <c r="K151" s="5"/>
      <c r="L151" s="5"/>
      <c r="M151" s="5"/>
    </row>
    <row r="152" spans="1:13" x14ac:dyDescent="0.3">
      <c r="A152" s="24" t="s">
        <v>1068</v>
      </c>
      <c r="B152" s="12" t="s">
        <v>960</v>
      </c>
      <c r="C152" s="6" t="s">
        <v>518</v>
      </c>
      <c r="D152" s="6"/>
      <c r="E152" s="5"/>
      <c r="F152" s="5"/>
      <c r="G152" s="5"/>
      <c r="H152" s="5"/>
      <c r="I152" s="5"/>
      <c r="J152" s="5"/>
      <c r="K152" s="5"/>
      <c r="L152" s="5"/>
      <c r="M152" s="5"/>
    </row>
    <row r="153" spans="1:13" x14ac:dyDescent="0.3">
      <c r="B153" s="12" t="s">
        <v>951</v>
      </c>
      <c r="C153" s="6" t="s">
        <v>2601</v>
      </c>
      <c r="D153" s="6"/>
      <c r="E153" s="5"/>
      <c r="F153" s="5"/>
      <c r="G153" s="5"/>
      <c r="H153" s="5"/>
      <c r="I153" s="5"/>
      <c r="J153" s="5"/>
      <c r="K153" s="5"/>
      <c r="L153" s="5"/>
      <c r="M153" s="5"/>
    </row>
    <row r="154" spans="1:13" x14ac:dyDescent="0.3">
      <c r="B154" s="12" t="s">
        <v>955</v>
      </c>
      <c r="C154" s="6" t="s">
        <v>518</v>
      </c>
      <c r="D154" s="6"/>
      <c r="E154" s="5"/>
      <c r="F154" s="5"/>
      <c r="G154" s="5"/>
      <c r="H154" s="5"/>
      <c r="I154" s="5"/>
      <c r="J154" s="5"/>
      <c r="K154" s="5"/>
      <c r="L154" s="5"/>
      <c r="M154" s="5"/>
    </row>
    <row r="155" spans="1:13" x14ac:dyDescent="0.3">
      <c r="B155" s="12" t="s">
        <v>954</v>
      </c>
      <c r="C155" s="6" t="s">
        <v>518</v>
      </c>
      <c r="D155" s="6"/>
      <c r="E155" s="5"/>
      <c r="F155" s="5"/>
      <c r="G155" s="5"/>
      <c r="H155" s="5"/>
      <c r="I155" s="5"/>
      <c r="J155" s="5"/>
      <c r="K155" s="5"/>
      <c r="L155" s="5"/>
      <c r="M155" s="5"/>
    </row>
    <row r="156" spans="1:13" x14ac:dyDescent="0.3">
      <c r="B156" s="12" t="s">
        <v>953</v>
      </c>
      <c r="C156" s="6" t="s">
        <v>518</v>
      </c>
      <c r="D156" s="6"/>
      <c r="E156" s="5"/>
      <c r="F156" s="5"/>
      <c r="G156" s="5"/>
      <c r="H156" s="5"/>
      <c r="I156" s="5"/>
      <c r="J156" s="5"/>
      <c r="K156" s="5"/>
      <c r="L156" s="5"/>
      <c r="M156" s="5"/>
    </row>
    <row r="157" spans="1:13" x14ac:dyDescent="0.3">
      <c r="A157" s="24" t="s">
        <v>1068</v>
      </c>
      <c r="B157" s="12" t="s">
        <v>952</v>
      </c>
      <c r="C157" s="6" t="s">
        <v>518</v>
      </c>
      <c r="D157" s="6"/>
      <c r="E157" s="5"/>
      <c r="F157" s="5"/>
      <c r="G157" s="5"/>
      <c r="H157" s="5"/>
      <c r="I157" s="5"/>
      <c r="J157" s="5"/>
      <c r="K157" s="5"/>
      <c r="L157" s="5"/>
      <c r="M157" s="5"/>
    </row>
    <row r="158" spans="1:13" x14ac:dyDescent="0.3">
      <c r="B158" s="12" t="s">
        <v>946</v>
      </c>
      <c r="C158" s="6">
        <v>722.37599999999998</v>
      </c>
      <c r="D158" s="6"/>
      <c r="E158" s="5"/>
      <c r="F158" s="5"/>
      <c r="G158" s="5"/>
      <c r="H158" s="5"/>
      <c r="I158" s="5"/>
      <c r="J158" s="5"/>
      <c r="K158" s="5"/>
      <c r="L158" s="5"/>
      <c r="M158" s="5"/>
    </row>
    <row r="159" spans="1:13" x14ac:dyDescent="0.3">
      <c r="B159" s="12" t="s">
        <v>947</v>
      </c>
      <c r="C159" s="6" t="s">
        <v>518</v>
      </c>
      <c r="D159" s="6"/>
      <c r="E159" s="5"/>
      <c r="F159" s="5"/>
      <c r="G159" s="5"/>
      <c r="H159" s="5"/>
      <c r="I159" s="5"/>
      <c r="J159" s="5"/>
      <c r="K159" s="5"/>
      <c r="L159" s="5"/>
      <c r="M159" s="5"/>
    </row>
    <row r="160" spans="1:13" x14ac:dyDescent="0.3">
      <c r="B160" s="12" t="s">
        <v>948</v>
      </c>
      <c r="C160" s="6" t="s">
        <v>518</v>
      </c>
      <c r="D160" s="6"/>
      <c r="E160" s="5"/>
      <c r="F160" s="5"/>
      <c r="G160" s="5"/>
      <c r="H160" s="5"/>
      <c r="I160" s="5"/>
      <c r="J160" s="5"/>
      <c r="K160" s="5"/>
      <c r="L160" s="5"/>
      <c r="M160" s="5"/>
    </row>
    <row r="161" spans="1:13" x14ac:dyDescent="0.3">
      <c r="B161" s="12" t="s">
        <v>949</v>
      </c>
      <c r="C161" s="6" t="s">
        <v>518</v>
      </c>
      <c r="D161" s="6"/>
      <c r="E161" s="5"/>
      <c r="F161" s="5"/>
      <c r="G161" s="5"/>
      <c r="H161" s="5"/>
      <c r="I161" s="5"/>
      <c r="J161" s="5"/>
      <c r="K161" s="5"/>
      <c r="L161" s="5"/>
      <c r="M161" s="5"/>
    </row>
    <row r="162" spans="1:13" x14ac:dyDescent="0.3">
      <c r="A162" s="24" t="s">
        <v>1068</v>
      </c>
      <c r="B162" s="12" t="s">
        <v>950</v>
      </c>
      <c r="C162" s="6" t="s">
        <v>518</v>
      </c>
      <c r="D162" s="6"/>
      <c r="E162" s="5"/>
      <c r="F162" s="5"/>
      <c r="G162" s="5"/>
      <c r="H162" s="5"/>
      <c r="I162" s="5"/>
      <c r="J162" s="5"/>
      <c r="K162" s="5"/>
      <c r="L162" s="5"/>
      <c r="M162" s="5"/>
    </row>
    <row r="163" spans="1:13" x14ac:dyDescent="0.3">
      <c r="B163" s="12" t="s">
        <v>941</v>
      </c>
      <c r="C163" s="6"/>
      <c r="D163" s="6"/>
      <c r="E163" s="5"/>
      <c r="F163" s="5"/>
      <c r="G163" s="5"/>
      <c r="H163" s="5"/>
      <c r="I163" s="5"/>
      <c r="J163" s="5"/>
      <c r="K163" s="5"/>
      <c r="L163" s="5"/>
      <c r="M163" s="5"/>
    </row>
    <row r="164" spans="1:13" x14ac:dyDescent="0.3">
      <c r="B164" s="12" t="s">
        <v>942</v>
      </c>
      <c r="C164" s="6" t="s">
        <v>518</v>
      </c>
      <c r="D164" s="6"/>
      <c r="E164" s="5"/>
      <c r="F164" s="5"/>
      <c r="G164" s="5"/>
      <c r="H164" s="5"/>
      <c r="I164" s="5"/>
      <c r="J164" s="5"/>
      <c r="K164" s="5"/>
      <c r="L164" s="5"/>
      <c r="M164" s="5"/>
    </row>
    <row r="165" spans="1:13" x14ac:dyDescent="0.3">
      <c r="B165" s="12" t="s">
        <v>943</v>
      </c>
      <c r="C165" s="6" t="s">
        <v>518</v>
      </c>
      <c r="D165" s="6"/>
      <c r="E165" s="5"/>
      <c r="F165" s="5"/>
      <c r="G165" s="5"/>
      <c r="H165" s="5"/>
      <c r="I165" s="5"/>
      <c r="J165" s="5"/>
      <c r="K165" s="5"/>
      <c r="L165" s="5"/>
      <c r="M165" s="5"/>
    </row>
    <row r="166" spans="1:13" x14ac:dyDescent="0.3">
      <c r="B166" s="12" t="s">
        <v>944</v>
      </c>
      <c r="C166" s="6" t="s">
        <v>518</v>
      </c>
      <c r="D166" s="6"/>
      <c r="E166" s="5"/>
      <c r="F166" s="5"/>
      <c r="G166" s="5"/>
      <c r="H166" s="5"/>
      <c r="I166" s="5"/>
      <c r="J166" s="5"/>
      <c r="K166" s="5"/>
      <c r="L166" s="5"/>
      <c r="M166" s="5"/>
    </row>
    <row r="167" spans="1:13" x14ac:dyDescent="0.3">
      <c r="A167" s="24" t="s">
        <v>1068</v>
      </c>
      <c r="B167" s="12" t="s">
        <v>945</v>
      </c>
      <c r="C167" s="6" t="s">
        <v>518</v>
      </c>
      <c r="D167" s="6"/>
      <c r="E167" s="5"/>
      <c r="F167" s="5"/>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1387</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1388</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1389</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2" t="s">
        <v>266</v>
      </c>
      <c r="C267" s="6"/>
      <c r="D267" s="5"/>
      <c r="E267" s="5"/>
      <c r="F267" s="5"/>
      <c r="G267" s="5"/>
      <c r="H267" s="5"/>
      <c r="I267" s="5"/>
      <c r="J267" s="5"/>
      <c r="K267" s="5"/>
      <c r="L267" s="5"/>
      <c r="M267" s="5"/>
    </row>
    <row r="268" spans="2:13" x14ac:dyDescent="0.3">
      <c r="B268" s="12" t="s">
        <v>1390</v>
      </c>
      <c r="C268" s="6"/>
      <c r="D268" s="5"/>
      <c r="E268" s="5"/>
      <c r="F268" s="5"/>
      <c r="G268" s="5"/>
      <c r="H268" s="5"/>
      <c r="I268" s="5"/>
      <c r="J268" s="5"/>
      <c r="K268" s="5"/>
      <c r="L268" s="5"/>
      <c r="M268" s="5"/>
    </row>
    <row r="269" spans="2:13" x14ac:dyDescent="0.3">
      <c r="B269" s="12" t="s">
        <v>267</v>
      </c>
      <c r="C269" s="6"/>
      <c r="D269" s="5"/>
      <c r="E269" s="5"/>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t="s">
        <v>17</v>
      </c>
      <c r="D272" s="5" t="s">
        <v>17</v>
      </c>
      <c r="E272" s="5"/>
      <c r="F272" s="5"/>
      <c r="G272" s="5"/>
      <c r="H272" s="5"/>
      <c r="I272" s="5"/>
      <c r="J272" s="5"/>
      <c r="K272" s="5"/>
      <c r="L272" s="5"/>
      <c r="M272" s="5"/>
    </row>
    <row r="273" spans="2:19" x14ac:dyDescent="0.3">
      <c r="B273" s="12" t="s">
        <v>1391</v>
      </c>
      <c r="C273" s="6">
        <v>52</v>
      </c>
      <c r="D273" s="5">
        <v>52</v>
      </c>
      <c r="E273" s="5"/>
      <c r="F273" s="5"/>
      <c r="G273" s="5"/>
      <c r="H273" s="5"/>
      <c r="I273" s="5"/>
      <c r="J273" s="5"/>
      <c r="K273" s="5"/>
      <c r="L273" s="5"/>
      <c r="M273" s="5"/>
    </row>
    <row r="274" spans="2:19" x14ac:dyDescent="0.3">
      <c r="B274" s="12" t="s">
        <v>251</v>
      </c>
      <c r="C274" s="6">
        <v>644.35</v>
      </c>
      <c r="D274" s="5">
        <v>609.29999999999995</v>
      </c>
      <c r="E274" s="5"/>
      <c r="F274" s="5"/>
      <c r="G274" s="5"/>
      <c r="H274" s="5"/>
      <c r="I274" s="5"/>
      <c r="J274" s="5"/>
      <c r="K274" s="5"/>
      <c r="L274" s="5"/>
      <c r="M274" s="5"/>
    </row>
    <row r="275" spans="2:19" x14ac:dyDescent="0.3">
      <c r="B275" s="12" t="s">
        <v>428</v>
      </c>
      <c r="C275" s="6">
        <v>2</v>
      </c>
      <c r="D275" s="5">
        <v>2</v>
      </c>
      <c r="E275" s="5"/>
      <c r="F275" s="5"/>
      <c r="G275" s="5"/>
      <c r="H275" s="5"/>
      <c r="I275" s="5"/>
      <c r="J275" s="5"/>
      <c r="K275" s="5"/>
      <c r="L275" s="5"/>
      <c r="M275" s="5"/>
    </row>
    <row r="276" spans="2:19" x14ac:dyDescent="0.3">
      <c r="B276" s="12" t="s">
        <v>429</v>
      </c>
      <c r="C276" s="6">
        <v>134</v>
      </c>
      <c r="D276" s="5">
        <v>134</v>
      </c>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t="s">
        <v>2606</v>
      </c>
      <c r="D279" s="6"/>
      <c r="E279" s="6"/>
      <c r="F279" s="6"/>
      <c r="G279" s="6"/>
      <c r="H279" s="6"/>
      <c r="I279" s="6"/>
      <c r="J279" s="6"/>
      <c r="K279" s="6"/>
      <c r="L279" s="6"/>
      <c r="M279" s="6"/>
      <c r="N279" s="6"/>
      <c r="O279" s="6"/>
      <c r="P279" s="6"/>
      <c r="Q279" s="6"/>
      <c r="R279" s="6"/>
      <c r="S279" s="6"/>
    </row>
    <row r="280" spans="2:19" x14ac:dyDescent="0.3">
      <c r="B280" s="12" t="s">
        <v>244</v>
      </c>
      <c r="C280" s="6" t="s">
        <v>17</v>
      </c>
      <c r="D280" s="6"/>
      <c r="E280" s="6"/>
      <c r="F280" s="6"/>
      <c r="G280" s="6"/>
      <c r="H280" s="6"/>
      <c r="I280" s="6"/>
      <c r="J280" s="6"/>
      <c r="K280" s="6"/>
      <c r="L280" s="6"/>
      <c r="M280" s="6"/>
      <c r="N280" s="6"/>
      <c r="O280" s="6"/>
      <c r="P280" s="6"/>
      <c r="Q280" s="6"/>
      <c r="R280" s="6"/>
      <c r="S280" s="6"/>
    </row>
    <row r="281" spans="2:19" x14ac:dyDescent="0.3">
      <c r="B281" s="12" t="s">
        <v>246</v>
      </c>
      <c r="C281" s="6">
        <v>8</v>
      </c>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t="s">
        <v>2626</v>
      </c>
      <c r="D284" s="6"/>
      <c r="E284" s="6"/>
      <c r="F284" s="6"/>
      <c r="G284" s="6"/>
      <c r="H284" s="6"/>
      <c r="I284" s="6"/>
      <c r="J284" s="6"/>
      <c r="K284" s="6"/>
      <c r="L284" s="6"/>
      <c r="M284" s="6"/>
      <c r="N284" s="6"/>
      <c r="O284" s="6"/>
      <c r="P284" s="6"/>
      <c r="Q284" s="6"/>
      <c r="R284" s="6"/>
      <c r="S284" s="6"/>
    </row>
    <row r="285" spans="2:19" x14ac:dyDescent="0.3">
      <c r="B285" s="12" t="s">
        <v>1392</v>
      </c>
      <c r="C285" s="6" t="s">
        <v>2627</v>
      </c>
      <c r="D285" s="6"/>
      <c r="E285" s="6"/>
      <c r="F285" s="6"/>
      <c r="G285" s="6"/>
      <c r="H285" s="6"/>
      <c r="I285" s="6"/>
      <c r="J285" s="6"/>
      <c r="K285" s="6"/>
      <c r="L285" s="6"/>
      <c r="M285" s="6"/>
      <c r="N285" s="6"/>
      <c r="O285" s="6"/>
      <c r="P285" s="6"/>
      <c r="Q285" s="6"/>
      <c r="R285" s="6"/>
      <c r="S285" s="6"/>
    </row>
    <row r="286" spans="2:19" x14ac:dyDescent="0.3">
      <c r="B286" s="12" t="s">
        <v>471</v>
      </c>
      <c r="C286" s="6" t="s">
        <v>2607</v>
      </c>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5" t="s">
        <v>1077</v>
      </c>
      <c r="F289" s="5"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1282</v>
      </c>
      <c r="D292" s="6" t="s">
        <v>1108</v>
      </c>
      <c r="E292" s="6">
        <v>1</v>
      </c>
      <c r="F292" s="6" t="s">
        <v>2561</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2" t="s">
        <v>34</v>
      </c>
      <c r="C293" s="1" t="s">
        <v>1362</v>
      </c>
      <c r="D293" s="6" t="s">
        <v>1331</v>
      </c>
      <c r="E293" s="6">
        <v>1</v>
      </c>
      <c r="F293" s="6" t="s">
        <v>17</v>
      </c>
      <c r="G293" s="5"/>
      <c r="H293" s="5"/>
      <c r="I293" s="5"/>
      <c r="J293" s="5"/>
      <c r="K293" s="5"/>
      <c r="L293" s="5"/>
      <c r="M293" s="5"/>
      <c r="N293" s="5"/>
      <c r="O293" s="5"/>
      <c r="P293" s="6"/>
      <c r="Q293" s="1" t="s">
        <v>1329</v>
      </c>
      <c r="R293" s="6" t="s">
        <v>1330</v>
      </c>
      <c r="T293" t="str">
        <f t="shared" ref="T293:T306" si="0">CHAR(34)&amp;Q293&amp;R293&amp;CHAR(34)</f>
        <v>"Horizontal velocity [U] m/s               "</v>
      </c>
    </row>
    <row r="294" spans="1:20" x14ac:dyDescent="0.3">
      <c r="A294" t="s">
        <v>572</v>
      </c>
      <c r="B294" s="12" t="s">
        <v>35</v>
      </c>
      <c r="C294" s="1" t="s">
        <v>1363</v>
      </c>
      <c r="D294" s="6" t="s">
        <v>1331</v>
      </c>
      <c r="E294" s="6">
        <v>1</v>
      </c>
      <c r="F294" s="6" t="s">
        <v>1859</v>
      </c>
      <c r="G294" s="5"/>
      <c r="H294" s="5"/>
      <c r="I294" s="5"/>
      <c r="J294" s="5"/>
      <c r="K294" s="5"/>
      <c r="L294" s="5"/>
      <c r="M294" s="5"/>
      <c r="N294" s="5"/>
      <c r="O294" s="5"/>
      <c r="P294" s="6"/>
      <c r="Q294" s="1" t="s">
        <v>1332</v>
      </c>
      <c r="R294" s="6" t="s">
        <v>1333</v>
      </c>
      <c r="T294" t="str">
        <f t="shared" si="0"/>
        <v>"Vertical velocity [W] m/s                 "</v>
      </c>
    </row>
    <row r="295" spans="1:20" x14ac:dyDescent="0.3">
      <c r="A295" t="s">
        <v>573</v>
      </c>
      <c r="B295" s="12" t="s">
        <v>36</v>
      </c>
      <c r="C295" s="1" t="s">
        <v>1364</v>
      </c>
      <c r="D295" s="6" t="s">
        <v>1331</v>
      </c>
      <c r="E295" s="6">
        <v>1</v>
      </c>
      <c r="F295" s="6" t="s">
        <v>1093</v>
      </c>
      <c r="G295" s="5"/>
      <c r="H295" s="5"/>
      <c r="I295" s="5"/>
      <c r="J295" s="5"/>
      <c r="K295" s="5"/>
      <c r="L295" s="5"/>
      <c r="M295" s="5"/>
      <c r="N295" s="5"/>
      <c r="O295" s="5"/>
      <c r="P295" s="6"/>
      <c r="Q295" s="1" t="s">
        <v>1334</v>
      </c>
      <c r="R295" s="6" t="s">
        <v>1335</v>
      </c>
      <c r="T295" t="str">
        <f t="shared" si="0"/>
        <v>"Temperature [T1] &lt;o/&gt;C                    "</v>
      </c>
    </row>
    <row r="296" spans="1:20" x14ac:dyDescent="0.3">
      <c r="A296"/>
      <c r="B296" s="12" t="s">
        <v>37</v>
      </c>
      <c r="C296" s="1" t="s">
        <v>1365</v>
      </c>
      <c r="D296" s="6" t="s">
        <v>1331</v>
      </c>
      <c r="E296" s="6">
        <v>1</v>
      </c>
      <c r="F296" s="6" t="s">
        <v>17</v>
      </c>
      <c r="G296" s="5"/>
      <c r="H296" s="5"/>
      <c r="I296" s="5"/>
      <c r="J296" s="5"/>
      <c r="K296" s="5"/>
      <c r="L296" s="5"/>
      <c r="M296" s="5"/>
      <c r="N296" s="5"/>
      <c r="O296" s="5"/>
      <c r="P296" s="6"/>
      <c r="Q296" s="1" t="s">
        <v>1336</v>
      </c>
      <c r="R296" s="6" t="s">
        <v>1337</v>
      </c>
      <c r="T296" t="str">
        <f t="shared" si="0"/>
        <v>"Density [RHO] g/m^3                       "</v>
      </c>
    </row>
    <row r="297" spans="1:20" x14ac:dyDescent="0.3">
      <c r="A297" t="s">
        <v>574</v>
      </c>
      <c r="B297" s="12" t="s">
        <v>38</v>
      </c>
      <c r="C297" s="1" t="s">
        <v>1366</v>
      </c>
      <c r="D297" s="6" t="s">
        <v>1331</v>
      </c>
      <c r="E297" s="6">
        <v>1</v>
      </c>
      <c r="F297" s="6" t="s">
        <v>17</v>
      </c>
      <c r="G297" s="5"/>
      <c r="H297" s="5"/>
      <c r="I297" s="5"/>
      <c r="J297" s="5"/>
      <c r="K297" s="5"/>
      <c r="L297" s="5"/>
      <c r="M297" s="5"/>
      <c r="N297" s="5"/>
      <c r="O297" s="5"/>
      <c r="P297" s="6"/>
      <c r="Q297" s="1" t="s">
        <v>1338</v>
      </c>
      <c r="R297" s="6" t="s">
        <v>1339</v>
      </c>
      <c r="T297" t="str">
        <f t="shared" si="0"/>
        <v>"Vertical eddy viscosity [AZ] m^2/s        "</v>
      </c>
    </row>
    <row r="298" spans="1:20" x14ac:dyDescent="0.3">
      <c r="B298" s="12" t="s">
        <v>39</v>
      </c>
      <c r="C298" s="1" t="s">
        <v>1367</v>
      </c>
      <c r="D298" s="6" t="s">
        <v>1331</v>
      </c>
      <c r="E298" s="6">
        <v>1</v>
      </c>
      <c r="F298" s="6" t="s">
        <v>17</v>
      </c>
      <c r="G298" s="5"/>
      <c r="H298" s="5"/>
      <c r="I298" s="5"/>
      <c r="J298" s="5"/>
      <c r="K298" s="5"/>
      <c r="L298" s="5"/>
      <c r="M298" s="5"/>
      <c r="N298" s="5"/>
      <c r="O298" s="5"/>
      <c r="P298" s="6"/>
      <c r="Q298" s="1" t="s">
        <v>1340</v>
      </c>
      <c r="R298" s="6" t="s">
        <v>1341</v>
      </c>
      <c r="T298" t="str">
        <f t="shared" si="0"/>
        <v>"Velocity shear stress [SHEAR] 1/s^2       "</v>
      </c>
    </row>
    <row r="299" spans="1:20" x14ac:dyDescent="0.3">
      <c r="B299" s="12" t="s">
        <v>40</v>
      </c>
      <c r="C299" s="1" t="s">
        <v>1368</v>
      </c>
      <c r="D299" s="6" t="s">
        <v>1331</v>
      </c>
      <c r="E299" s="6">
        <v>1</v>
      </c>
      <c r="F299" s="6" t="s">
        <v>17</v>
      </c>
      <c r="G299" s="5"/>
      <c r="H299" s="5"/>
      <c r="I299" s="5"/>
      <c r="J299" s="5"/>
      <c r="K299" s="5"/>
      <c r="L299" s="5"/>
      <c r="M299" s="5"/>
      <c r="N299" s="5"/>
      <c r="O299" s="5"/>
      <c r="P299" s="6"/>
      <c r="Q299" s="1" t="s">
        <v>1342</v>
      </c>
      <c r="R299" s="6" t="s">
        <v>1343</v>
      </c>
      <c r="T299" t="str">
        <f t="shared" si="0"/>
        <v>"Internal shear [ST] m^3/s                 "</v>
      </c>
    </row>
    <row r="300" spans="1:20" x14ac:dyDescent="0.3">
      <c r="B300" s="12" t="s">
        <v>41</v>
      </c>
      <c r="C300" s="1" t="s">
        <v>1369</v>
      </c>
      <c r="D300" s="6" t="s">
        <v>1331</v>
      </c>
      <c r="E300" s="6">
        <v>1</v>
      </c>
      <c r="F300" s="6" t="s">
        <v>17</v>
      </c>
      <c r="G300" s="5"/>
      <c r="H300" s="5"/>
      <c r="I300" s="5"/>
      <c r="J300" s="5"/>
      <c r="K300" s="5"/>
      <c r="L300" s="5"/>
      <c r="M300" s="5"/>
      <c r="N300" s="5"/>
      <c r="O300" s="5"/>
      <c r="P300" s="6"/>
      <c r="Q300" s="1" t="s">
        <v>1344</v>
      </c>
      <c r="R300" s="6" t="s">
        <v>1345</v>
      </c>
      <c r="T300" t="str">
        <f t="shared" si="0"/>
        <v>"Bottom shear [SB] m^3/s                   "</v>
      </c>
    </row>
    <row r="301" spans="1:20" x14ac:dyDescent="0.3">
      <c r="B301" s="12" t="s">
        <v>42</v>
      </c>
      <c r="C301" s="1" t="s">
        <v>1370</v>
      </c>
      <c r="D301" s="6" t="s">
        <v>1331</v>
      </c>
      <c r="E301" s="6">
        <v>1</v>
      </c>
      <c r="F301" s="6" t="s">
        <v>17</v>
      </c>
      <c r="G301" s="5"/>
      <c r="H301" s="5"/>
      <c r="I301" s="5"/>
      <c r="J301" s="5"/>
      <c r="K301" s="5"/>
      <c r="L301" s="5"/>
      <c r="M301" s="5"/>
      <c r="N301" s="5"/>
      <c r="O301" s="5"/>
      <c r="P301" s="6"/>
      <c r="Q301" s="1" t="s">
        <v>1346</v>
      </c>
      <c r="R301" s="6" t="s">
        <v>1347</v>
      </c>
      <c r="T301" t="str">
        <f t="shared" si="0"/>
        <v>"Longitudinal momentum [ADMX] m^3/s        "</v>
      </c>
    </row>
    <row r="302" spans="1:20" x14ac:dyDescent="0.3">
      <c r="B302" s="12" t="s">
        <v>43</v>
      </c>
      <c r="C302" s="1" t="s">
        <v>1371</v>
      </c>
      <c r="D302" s="6" t="s">
        <v>1331</v>
      </c>
      <c r="E302" s="6">
        <v>1</v>
      </c>
      <c r="F302" s="6" t="s">
        <v>17</v>
      </c>
      <c r="G302" s="5"/>
      <c r="H302" s="5"/>
      <c r="I302" s="5"/>
      <c r="J302" s="5"/>
      <c r="K302" s="5"/>
      <c r="L302" s="5"/>
      <c r="M302" s="5"/>
      <c r="N302" s="5"/>
      <c r="O302" s="5"/>
      <c r="P302" s="6"/>
      <c r="Q302" s="1" t="s">
        <v>1348</v>
      </c>
      <c r="R302" s="6" t="s">
        <v>1349</v>
      </c>
      <c r="T302" t="str">
        <f t="shared" si="0"/>
        <v>"Longitudinal momentum [DM] m^3/s          "</v>
      </c>
    </row>
    <row r="303" spans="1:20" x14ac:dyDescent="0.3">
      <c r="B303" s="12" t="s">
        <v>44</v>
      </c>
      <c r="C303" s="1" t="s">
        <v>1372</v>
      </c>
      <c r="D303" s="6" t="s">
        <v>1331</v>
      </c>
      <c r="E303" s="6">
        <v>1</v>
      </c>
      <c r="F303" s="6" t="s">
        <v>17</v>
      </c>
      <c r="G303" s="5"/>
      <c r="H303" s="5"/>
      <c r="I303" s="5"/>
      <c r="J303" s="5"/>
      <c r="K303" s="5"/>
      <c r="L303" s="5"/>
      <c r="M303" s="5"/>
      <c r="N303" s="5"/>
      <c r="O303" s="5"/>
      <c r="P303" s="6"/>
      <c r="Q303" s="1" t="s">
        <v>1350</v>
      </c>
      <c r="R303" s="6" t="s">
        <v>1351</v>
      </c>
      <c r="T303" t="str">
        <f t="shared" si="0"/>
        <v>"Horizontal density gradient [HDG] m^3/s   "</v>
      </c>
    </row>
    <row r="304" spans="1:20" x14ac:dyDescent="0.3">
      <c r="B304" s="12" t="s">
        <v>45</v>
      </c>
      <c r="C304" s="1" t="s">
        <v>1373</v>
      </c>
      <c r="D304" s="6" t="s">
        <v>1331</v>
      </c>
      <c r="E304" s="6">
        <v>1</v>
      </c>
      <c r="F304" s="6" t="s">
        <v>17</v>
      </c>
      <c r="G304" s="5"/>
      <c r="H304" s="5"/>
      <c r="I304" s="5"/>
      <c r="J304" s="5"/>
      <c r="K304" s="5"/>
      <c r="L304" s="5"/>
      <c r="M304" s="5"/>
      <c r="N304" s="5"/>
      <c r="O304" s="5"/>
      <c r="P304" s="6"/>
      <c r="Q304" s="1" t="s">
        <v>1352</v>
      </c>
      <c r="R304" s="6" t="s">
        <v>1353</v>
      </c>
      <c r="T304" t="str">
        <f t="shared" si="0"/>
        <v>"Vertical momentum [ADMZ] m^3/s            "</v>
      </c>
    </row>
    <row r="305" spans="1:23" x14ac:dyDescent="0.3">
      <c r="B305" s="12" t="s">
        <v>46</v>
      </c>
      <c r="C305" s="1" t="s">
        <v>1374</v>
      </c>
      <c r="D305" s="6" t="s">
        <v>1331</v>
      </c>
      <c r="E305" s="6">
        <v>1</v>
      </c>
      <c r="F305" s="6" t="s">
        <v>17</v>
      </c>
      <c r="G305" s="5"/>
      <c r="H305" s="5"/>
      <c r="I305" s="5"/>
      <c r="J305" s="5"/>
      <c r="K305" s="5"/>
      <c r="L305" s="5"/>
      <c r="M305" s="5"/>
      <c r="N305" s="5"/>
      <c r="O305" s="5"/>
      <c r="P305" s="6"/>
      <c r="Q305" s="1" t="s">
        <v>1354</v>
      </c>
      <c r="R305" s="6" t="s">
        <v>1355</v>
      </c>
      <c r="T305" t="str">
        <f t="shared" si="0"/>
        <v>"Horizontal pressure gradient [HPG] m^3/s  "</v>
      </c>
    </row>
    <row r="306" spans="1:23" x14ac:dyDescent="0.3">
      <c r="B306" s="12" t="s">
        <v>47</v>
      </c>
      <c r="C306" s="1" t="s">
        <v>1375</v>
      </c>
      <c r="D306" s="6" t="s">
        <v>1331</v>
      </c>
      <c r="E306" s="6">
        <v>1</v>
      </c>
      <c r="F306" s="6" t="s">
        <v>17</v>
      </c>
      <c r="G306" s="5"/>
      <c r="H306" s="5"/>
      <c r="I306" s="5"/>
      <c r="J306" s="5"/>
      <c r="K306" s="5"/>
      <c r="L306" s="5"/>
      <c r="M306" s="5"/>
      <c r="N306" s="5"/>
      <c r="O306" s="5"/>
      <c r="P306" s="6"/>
      <c r="Q306" s="1" t="s">
        <v>1356</v>
      </c>
      <c r="R306" s="6" t="s">
        <v>1351</v>
      </c>
      <c r="T306" t="str">
        <f t="shared" si="0"/>
        <v>"Gravity term channel slope [GRAV] m^3/s   "</v>
      </c>
    </row>
    <row r="307" spans="1:23" x14ac:dyDescent="0.3">
      <c r="B307" s="19"/>
      <c r="C307" s="5" t="s">
        <v>518</v>
      </c>
      <c r="D307" s="5"/>
      <c r="E307" s="5"/>
      <c r="F307" s="5"/>
      <c r="G307" s="5"/>
      <c r="H307" s="5"/>
      <c r="I307" s="5"/>
      <c r="J307" s="5"/>
      <c r="K307" s="5"/>
      <c r="L307" s="5"/>
      <c r="M307" s="5"/>
    </row>
    <row r="308" spans="1:23" x14ac:dyDescent="0.3">
      <c r="A308" t="s">
        <v>1008</v>
      </c>
      <c r="B308" s="66" t="s">
        <v>454</v>
      </c>
      <c r="C308" s="5" t="s">
        <v>1110</v>
      </c>
      <c r="D308" s="5"/>
      <c r="E308" s="5"/>
      <c r="F308" s="5"/>
      <c r="G308" s="5"/>
      <c r="H308" s="5"/>
      <c r="I308" s="5"/>
      <c r="J308" s="5"/>
      <c r="K308" s="5"/>
      <c r="L308" s="5"/>
      <c r="M308" s="5"/>
      <c r="P308" s="2"/>
      <c r="Q308" s="2"/>
    </row>
    <row r="309" spans="1:23" x14ac:dyDescent="0.3">
      <c r="B309" s="12" t="s">
        <v>446</v>
      </c>
      <c r="C309" s="6" t="s">
        <v>1093</v>
      </c>
      <c r="D309" s="5"/>
      <c r="E309" s="5"/>
      <c r="F309" s="5"/>
      <c r="G309" s="5"/>
      <c r="H309" s="5"/>
      <c r="I309" s="5"/>
      <c r="J309" s="5"/>
      <c r="K309" s="5"/>
      <c r="L309" s="5"/>
      <c r="M309" s="5"/>
    </row>
    <row r="310" spans="1:23" x14ac:dyDescent="0.3">
      <c r="B310" s="12" t="s">
        <v>445</v>
      </c>
      <c r="C310" s="6">
        <v>21</v>
      </c>
      <c r="D310" s="5"/>
      <c r="E310" s="5"/>
      <c r="F310" s="5"/>
      <c r="G310" s="5"/>
      <c r="H310" s="5"/>
      <c r="I310" s="5"/>
      <c r="J310" s="5"/>
      <c r="K310" s="5"/>
      <c r="L310" s="5"/>
      <c r="M310" s="5"/>
    </row>
    <row r="311" spans="1:23" x14ac:dyDescent="0.3">
      <c r="B311" s="12"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2"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19"/>
      <c r="C313" s="5" t="s">
        <v>518</v>
      </c>
      <c r="D313" s="5"/>
      <c r="E313" s="5"/>
      <c r="F313" s="5"/>
      <c r="G313" s="5"/>
      <c r="H313" s="5"/>
      <c r="I313" s="5"/>
      <c r="J313" s="5"/>
      <c r="K313" s="5"/>
      <c r="L313" s="5"/>
      <c r="M313" s="5"/>
    </row>
    <row r="314" spans="1:23" x14ac:dyDescent="0.3">
      <c r="B314" s="66" t="s">
        <v>455</v>
      </c>
      <c r="C314" s="5" t="s">
        <v>1030</v>
      </c>
      <c r="D314" s="5"/>
      <c r="E314" s="5"/>
      <c r="F314" s="5"/>
      <c r="G314" s="5"/>
      <c r="H314" s="5"/>
      <c r="I314" s="5"/>
      <c r="J314" s="5"/>
      <c r="K314" s="5"/>
      <c r="L314" s="5"/>
      <c r="M314" s="5"/>
      <c r="N314" s="3"/>
    </row>
    <row r="315" spans="1:23" x14ac:dyDescent="0.3">
      <c r="B315" s="13" t="s">
        <v>927</v>
      </c>
      <c r="C315" s="6" t="s">
        <v>1093</v>
      </c>
      <c r="D315" s="5"/>
      <c r="E315" s="5"/>
      <c r="F315" s="5"/>
      <c r="G315" s="5"/>
      <c r="H315" s="5"/>
      <c r="I315" s="5"/>
      <c r="J315" s="5"/>
      <c r="K315" s="5"/>
      <c r="L315" s="5"/>
      <c r="M315" s="5"/>
    </row>
    <row r="316" spans="1:23" x14ac:dyDescent="0.3">
      <c r="B316" s="12" t="s">
        <v>472</v>
      </c>
      <c r="C316" s="6">
        <v>1</v>
      </c>
      <c r="D316" s="5"/>
      <c r="E316" s="5"/>
      <c r="F316" s="5"/>
      <c r="G316" s="5"/>
      <c r="H316" s="5"/>
      <c r="I316" s="5"/>
      <c r="J316" s="5"/>
      <c r="K316" s="5"/>
      <c r="L316" s="5"/>
      <c r="M316" s="5"/>
    </row>
    <row r="317" spans="1:23" x14ac:dyDescent="0.3">
      <c r="B317" s="12" t="s">
        <v>931</v>
      </c>
      <c r="C317" s="6">
        <v>1.5</v>
      </c>
      <c r="D317" s="6"/>
      <c r="E317" s="6"/>
      <c r="F317" s="6"/>
      <c r="G317" s="5"/>
      <c r="H317" s="5"/>
      <c r="I317" s="5"/>
      <c r="J317" s="5"/>
      <c r="K317" s="5"/>
      <c r="L317" s="5"/>
      <c r="M317" s="5"/>
    </row>
    <row r="318" spans="1:23" x14ac:dyDescent="0.3">
      <c r="B318" s="12" t="s">
        <v>928</v>
      </c>
      <c r="C318" s="6">
        <v>0.2</v>
      </c>
      <c r="D318" s="6"/>
      <c r="E318" s="6"/>
      <c r="F318" s="6"/>
      <c r="G318" s="5"/>
      <c r="H318" s="5"/>
      <c r="I318" s="5"/>
      <c r="J318" s="5"/>
      <c r="K318" s="5"/>
      <c r="L318" s="5"/>
      <c r="M318" s="5"/>
    </row>
    <row r="319" spans="1:23" x14ac:dyDescent="0.3">
      <c r="B319" s="19"/>
      <c r="C319" s="5" t="s">
        <v>518</v>
      </c>
      <c r="D319" s="5"/>
      <c r="E319" s="5"/>
      <c r="F319" s="5"/>
      <c r="G319" s="5"/>
      <c r="H319" s="5"/>
      <c r="I319" s="5"/>
      <c r="J319" s="5"/>
      <c r="K319" s="5"/>
      <c r="L319" s="5"/>
      <c r="M319" s="5"/>
    </row>
    <row r="320" spans="1:23" x14ac:dyDescent="0.3">
      <c r="A320" s="27" t="s">
        <v>1009</v>
      </c>
      <c r="B320" s="66" t="s">
        <v>456</v>
      </c>
      <c r="C320" s="5" t="s">
        <v>48</v>
      </c>
      <c r="D320" s="5"/>
      <c r="E320" s="11"/>
      <c r="F320" s="5"/>
      <c r="G320" s="5"/>
      <c r="H320" s="5"/>
      <c r="I320" s="5"/>
      <c r="J320" s="5"/>
      <c r="K320" s="5"/>
      <c r="L320" s="5"/>
      <c r="M320" s="5"/>
    </row>
    <row r="321" spans="1:25" x14ac:dyDescent="0.3">
      <c r="A321" s="27" t="s">
        <v>1010</v>
      </c>
      <c r="B321" s="12" t="s">
        <v>922</v>
      </c>
      <c r="C321" s="6" t="s">
        <v>2</v>
      </c>
      <c r="D321" s="5"/>
      <c r="E321" s="5"/>
      <c r="F321" s="5"/>
      <c r="G321" s="5"/>
      <c r="H321" s="5"/>
      <c r="I321" s="5"/>
      <c r="J321" s="5"/>
      <c r="K321" s="5"/>
      <c r="L321" s="5"/>
      <c r="M321" s="5"/>
    </row>
    <row r="322" spans="1:25" x14ac:dyDescent="0.3">
      <c r="A322" t="s">
        <v>1011</v>
      </c>
      <c r="B322" s="12" t="s">
        <v>923</v>
      </c>
      <c r="C322" s="6">
        <v>23</v>
      </c>
      <c r="D322" s="5"/>
      <c r="E322" s="5"/>
      <c r="F322" s="5"/>
      <c r="G322" s="5"/>
      <c r="H322" s="5"/>
      <c r="I322" s="5"/>
      <c r="J322" s="5"/>
      <c r="K322" s="5"/>
      <c r="L322" s="5"/>
      <c r="M322" s="5"/>
    </row>
    <row r="323" spans="1:25" x14ac:dyDescent="0.3">
      <c r="B323" s="12" t="s">
        <v>924</v>
      </c>
      <c r="C323" s="6">
        <v>1</v>
      </c>
      <c r="D323" s="5"/>
      <c r="E323" s="5"/>
      <c r="F323" s="5"/>
      <c r="G323" s="5"/>
      <c r="H323" s="5"/>
      <c r="I323" s="5"/>
      <c r="J323" s="5"/>
      <c r="K323" s="5"/>
      <c r="L323" s="5"/>
      <c r="M323" s="5"/>
    </row>
    <row r="324" spans="1:25" x14ac:dyDescent="0.3">
      <c r="B324" s="12" t="s">
        <v>932</v>
      </c>
      <c r="C324" s="6">
        <v>15.5</v>
      </c>
      <c r="D324" s="6">
        <v>30.5</v>
      </c>
      <c r="E324" s="6">
        <v>45.4</v>
      </c>
      <c r="F324" s="6">
        <v>60.5</v>
      </c>
      <c r="G324" s="5">
        <v>75.5</v>
      </c>
      <c r="H324" s="5">
        <v>90.5</v>
      </c>
      <c r="I324" s="5">
        <v>105.5</v>
      </c>
      <c r="J324" s="5">
        <v>120.5</v>
      </c>
      <c r="K324" s="5">
        <v>135.5</v>
      </c>
      <c r="L324" s="5">
        <v>150.5</v>
      </c>
      <c r="M324" s="5">
        <v>165.5</v>
      </c>
      <c r="N324" s="41">
        <v>180.5</v>
      </c>
      <c r="O324" s="41">
        <v>195.5</v>
      </c>
      <c r="P324" s="41">
        <v>210.5</v>
      </c>
      <c r="Q324" s="41">
        <v>225.5</v>
      </c>
      <c r="R324" s="41">
        <v>240.5</v>
      </c>
      <c r="S324" s="41">
        <v>255.5</v>
      </c>
      <c r="T324" s="41">
        <v>270.5</v>
      </c>
      <c r="U324" s="41">
        <v>295.5</v>
      </c>
      <c r="V324" s="41">
        <v>310.5</v>
      </c>
      <c r="W324" s="41">
        <v>325.5</v>
      </c>
      <c r="X324" s="41">
        <v>340.5</v>
      </c>
      <c r="Y324" s="41">
        <v>355.5</v>
      </c>
    </row>
    <row r="325" spans="1:25" x14ac:dyDescent="0.3">
      <c r="B325" s="12" t="s">
        <v>926</v>
      </c>
      <c r="C325" s="6">
        <v>360</v>
      </c>
      <c r="D325" s="6">
        <v>360</v>
      </c>
      <c r="E325" s="6">
        <v>360</v>
      </c>
      <c r="F325" s="6">
        <v>360</v>
      </c>
      <c r="G325" s="6">
        <v>360</v>
      </c>
      <c r="H325" s="6">
        <v>360</v>
      </c>
      <c r="I325" s="6">
        <v>360</v>
      </c>
      <c r="J325" s="6">
        <v>360</v>
      </c>
      <c r="K325" s="6">
        <v>360</v>
      </c>
      <c r="L325" s="6">
        <v>360</v>
      </c>
      <c r="M325" s="6">
        <v>360</v>
      </c>
      <c r="N325" s="6">
        <v>360</v>
      </c>
      <c r="O325" s="6">
        <v>360</v>
      </c>
      <c r="P325" s="6">
        <v>360</v>
      </c>
      <c r="Q325" s="6">
        <v>360</v>
      </c>
      <c r="R325" s="6">
        <v>360</v>
      </c>
      <c r="S325" s="6">
        <v>360</v>
      </c>
      <c r="T325" s="6">
        <v>360</v>
      </c>
      <c r="U325" s="6">
        <v>360</v>
      </c>
      <c r="V325" s="6">
        <v>360</v>
      </c>
      <c r="W325" s="6">
        <v>360</v>
      </c>
      <c r="X325" s="6">
        <v>360</v>
      </c>
      <c r="Y325" s="6">
        <v>360</v>
      </c>
    </row>
    <row r="326" spans="1:25" x14ac:dyDescent="0.3">
      <c r="B326" s="12" t="s">
        <v>925</v>
      </c>
      <c r="C326" s="6">
        <v>52</v>
      </c>
      <c r="D326" s="6"/>
      <c r="E326" s="6"/>
      <c r="F326" s="6"/>
      <c r="G326" s="5"/>
      <c r="H326" s="5"/>
      <c r="I326" s="5"/>
      <c r="J326" s="5"/>
      <c r="K326" s="5"/>
      <c r="L326" s="5"/>
      <c r="M326" s="5"/>
    </row>
    <row r="327" spans="1:25" x14ac:dyDescent="0.3">
      <c r="B327" s="19"/>
      <c r="C327" s="5" t="s">
        <v>518</v>
      </c>
      <c r="D327" s="5"/>
      <c r="E327" s="5"/>
      <c r="F327" s="5"/>
      <c r="G327" s="5"/>
      <c r="H327" s="5"/>
      <c r="I327" s="5"/>
      <c r="J327" s="5"/>
      <c r="K327" s="5"/>
      <c r="L327" s="5"/>
      <c r="M327" s="5"/>
    </row>
    <row r="328" spans="1:25" x14ac:dyDescent="0.3">
      <c r="A328" t="s">
        <v>443</v>
      </c>
      <c r="B328" s="66" t="s">
        <v>294</v>
      </c>
      <c r="C328" s="5" t="s">
        <v>1031</v>
      </c>
      <c r="D328" s="5"/>
      <c r="E328" s="5"/>
      <c r="F328" s="5"/>
      <c r="G328" s="5"/>
      <c r="H328" s="5"/>
      <c r="I328" s="5"/>
      <c r="J328" s="5"/>
      <c r="K328" s="5"/>
      <c r="L328" s="5"/>
      <c r="M328" s="5"/>
    </row>
    <row r="329" spans="1:25" x14ac:dyDescent="0.3">
      <c r="A329" t="s">
        <v>444</v>
      </c>
      <c r="B329" s="13" t="s">
        <v>921</v>
      </c>
      <c r="C329" s="6" t="s">
        <v>2</v>
      </c>
      <c r="D329" s="5"/>
      <c r="E329" s="5"/>
      <c r="F329" s="5"/>
      <c r="G329" s="5"/>
      <c r="H329" s="5"/>
      <c r="I329" s="5"/>
      <c r="J329" s="5"/>
      <c r="K329" s="5"/>
      <c r="L329" s="5"/>
      <c r="M329" s="5"/>
    </row>
    <row r="330" spans="1:25" x14ac:dyDescent="0.3">
      <c r="B330" s="12" t="s">
        <v>473</v>
      </c>
      <c r="C330" s="6">
        <v>1</v>
      </c>
      <c r="D330" s="5"/>
      <c r="E330" s="5"/>
      <c r="F330" s="5"/>
      <c r="G330" s="5"/>
      <c r="H330" s="5"/>
      <c r="I330" s="5"/>
      <c r="J330" s="5"/>
      <c r="K330" s="5"/>
      <c r="L330" s="5"/>
      <c r="M330" s="5"/>
    </row>
    <row r="331" spans="1:25" x14ac:dyDescent="0.3">
      <c r="B331" s="12" t="s">
        <v>474</v>
      </c>
      <c r="C331" s="6">
        <v>1</v>
      </c>
      <c r="D331" s="5"/>
      <c r="E331" s="5"/>
      <c r="F331" s="5"/>
      <c r="G331" s="5"/>
      <c r="H331" s="5"/>
      <c r="I331" s="5"/>
      <c r="J331" s="5"/>
      <c r="K331" s="5"/>
      <c r="L331" s="5"/>
      <c r="M331" s="5"/>
    </row>
    <row r="332" spans="1:25" x14ac:dyDescent="0.3">
      <c r="B332" s="12" t="s">
        <v>933</v>
      </c>
      <c r="C332" s="6">
        <v>1</v>
      </c>
      <c r="D332" s="6"/>
      <c r="E332" s="6"/>
      <c r="F332" s="6"/>
      <c r="G332" s="5"/>
      <c r="H332" s="5"/>
      <c r="I332" s="5"/>
      <c r="J332" s="5"/>
      <c r="K332" s="5"/>
      <c r="L332" s="5"/>
      <c r="M332" s="5"/>
      <c r="N332" s="41"/>
      <c r="O332" s="41"/>
      <c r="P332" s="41"/>
      <c r="Q332" s="41"/>
      <c r="R332" s="41"/>
      <c r="S332" s="41"/>
      <c r="T332" s="41"/>
      <c r="U332" s="41"/>
      <c r="V332" s="41"/>
      <c r="W332" s="41"/>
      <c r="X332" s="41"/>
      <c r="Y332" s="41"/>
    </row>
    <row r="333" spans="1:25" x14ac:dyDescent="0.3">
      <c r="B333" s="12" t="s">
        <v>475</v>
      </c>
      <c r="C333" s="6">
        <v>4.1667000000000003E-2</v>
      </c>
      <c r="D333" s="6"/>
      <c r="E333" s="6"/>
      <c r="F333" s="6"/>
      <c r="G333" s="6"/>
      <c r="H333" s="6"/>
      <c r="I333" s="6"/>
      <c r="J333" s="6"/>
      <c r="K333" s="6"/>
      <c r="L333" s="6"/>
      <c r="M333" s="6"/>
      <c r="N333" s="6"/>
      <c r="O333" s="6"/>
      <c r="P333" s="6"/>
      <c r="Q333" s="6"/>
      <c r="R333" s="6"/>
      <c r="S333" s="6"/>
      <c r="T333" s="6"/>
      <c r="U333" s="6"/>
      <c r="V333" s="6"/>
      <c r="W333" s="6"/>
      <c r="X333" s="6"/>
      <c r="Y333" s="6"/>
    </row>
    <row r="334" spans="1:25" x14ac:dyDescent="0.3">
      <c r="B334" s="12" t="s">
        <v>934</v>
      </c>
      <c r="C334" s="6">
        <v>52</v>
      </c>
      <c r="D334" s="6"/>
      <c r="E334" s="6"/>
      <c r="F334" s="6"/>
      <c r="G334" s="5"/>
      <c r="H334" s="5"/>
      <c r="I334" s="5"/>
      <c r="J334" s="5"/>
      <c r="K334" s="5"/>
      <c r="L334" s="5"/>
      <c r="M334" s="5"/>
    </row>
    <row r="335" spans="1:25" x14ac:dyDescent="0.3">
      <c r="B335" s="19"/>
      <c r="C335" s="5" t="s">
        <v>518</v>
      </c>
      <c r="D335" s="5"/>
      <c r="E335" s="5"/>
      <c r="F335" s="5"/>
      <c r="G335" s="5"/>
      <c r="H335" s="5"/>
      <c r="I335" s="5"/>
      <c r="J335" s="5"/>
      <c r="K335" s="5"/>
      <c r="L335" s="5"/>
      <c r="M335" s="5"/>
    </row>
    <row r="336" spans="1:25" x14ac:dyDescent="0.3">
      <c r="A336" s="27" t="s">
        <v>1436</v>
      </c>
      <c r="B336" s="66" t="s">
        <v>1438</v>
      </c>
      <c r="C336" s="5" t="s">
        <v>1032</v>
      </c>
      <c r="D336" s="5"/>
      <c r="E336" s="5"/>
      <c r="F336" s="5"/>
      <c r="G336" s="5"/>
      <c r="H336" s="5"/>
      <c r="I336" s="5"/>
      <c r="J336" s="5"/>
      <c r="K336" s="5"/>
      <c r="L336" s="5"/>
      <c r="M336" s="5"/>
    </row>
    <row r="337" spans="1:34" x14ac:dyDescent="0.3">
      <c r="A337" s="27" t="s">
        <v>1437</v>
      </c>
      <c r="B337" s="12" t="s">
        <v>920</v>
      </c>
      <c r="C337" s="6" t="s">
        <v>2</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6">
        <v>1.5</v>
      </c>
      <c r="D339" s="5"/>
      <c r="E339" s="5"/>
      <c r="F339" s="5"/>
      <c r="G339" s="5"/>
      <c r="H339" s="5"/>
      <c r="I339" s="5"/>
      <c r="J339" s="5"/>
      <c r="K339" s="5"/>
      <c r="L339" s="5"/>
      <c r="M339" s="5"/>
    </row>
    <row r="340" spans="1:34" x14ac:dyDescent="0.3">
      <c r="B340" s="12" t="s">
        <v>477</v>
      </c>
      <c r="C340" s="6">
        <v>1</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1093</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17</v>
      </c>
      <c r="D345" s="5"/>
      <c r="E345" s="5"/>
      <c r="F345" s="5"/>
      <c r="G345" s="5"/>
      <c r="H345" s="5"/>
      <c r="I345" s="5"/>
      <c r="J345" s="5"/>
      <c r="K345" s="5"/>
      <c r="L345" s="5"/>
      <c r="M345" s="5"/>
    </row>
    <row r="346" spans="1:34" x14ac:dyDescent="0.3">
      <c r="B346" s="12"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17</v>
      </c>
      <c r="D350" s="5"/>
      <c r="E350" s="5"/>
      <c r="F350" s="5"/>
      <c r="G350" s="5"/>
      <c r="H350" s="5"/>
      <c r="I350" s="5"/>
      <c r="J350" s="5"/>
      <c r="K350" s="5"/>
      <c r="L350" s="5"/>
      <c r="M350" s="5"/>
    </row>
    <row r="351" spans="1:34" x14ac:dyDescent="0.3">
      <c r="B351" s="12" t="s">
        <v>919</v>
      </c>
      <c r="C351" s="6">
        <v>0</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7" x14ac:dyDescent="0.3">
      <c r="B353" s="12" t="s">
        <v>480</v>
      </c>
      <c r="C353" s="6">
        <v>60</v>
      </c>
      <c r="D353" s="6"/>
      <c r="E353" s="6"/>
      <c r="F353" s="6"/>
      <c r="G353" s="6"/>
      <c r="H353" s="5"/>
      <c r="I353" s="5"/>
      <c r="J353" s="5"/>
      <c r="K353" s="5"/>
      <c r="L353" s="5"/>
      <c r="M353" s="5"/>
    </row>
    <row r="354" spans="1:17" x14ac:dyDescent="0.3">
      <c r="B354" s="19"/>
      <c r="C354" s="5" t="s">
        <v>518</v>
      </c>
      <c r="D354" s="5"/>
      <c r="E354" s="5"/>
      <c r="F354" s="5"/>
      <c r="G354" s="5"/>
      <c r="H354" s="5"/>
      <c r="I354" s="5"/>
      <c r="J354" s="5"/>
      <c r="K354" s="5"/>
      <c r="L354" s="5"/>
      <c r="M354" s="5"/>
    </row>
    <row r="355" spans="1:17" x14ac:dyDescent="0.3">
      <c r="B355" s="66" t="s">
        <v>481</v>
      </c>
      <c r="C355" s="5" t="s">
        <v>1035</v>
      </c>
      <c r="D355" s="5"/>
      <c r="E355" s="5"/>
      <c r="F355" s="5"/>
      <c r="G355" s="5"/>
      <c r="H355" s="5"/>
      <c r="I355" s="5"/>
      <c r="J355" s="5"/>
      <c r="K355" s="5"/>
      <c r="L355" s="5"/>
      <c r="M355" s="5"/>
    </row>
    <row r="356" spans="1:17" x14ac:dyDescent="0.3">
      <c r="B356" s="12" t="s">
        <v>482</v>
      </c>
      <c r="C356" s="6" t="s">
        <v>1093</v>
      </c>
      <c r="D356" s="5"/>
      <c r="E356" s="5"/>
      <c r="F356" s="5"/>
      <c r="G356" s="5"/>
      <c r="H356" s="5"/>
      <c r="I356" s="5"/>
      <c r="J356" s="5"/>
      <c r="K356" s="5"/>
      <c r="L356" s="5"/>
      <c r="M356" s="5"/>
    </row>
    <row r="357" spans="1:17" x14ac:dyDescent="0.3">
      <c r="B357" s="12" t="s">
        <v>483</v>
      </c>
      <c r="C357" s="6">
        <v>1</v>
      </c>
      <c r="D357" s="5"/>
      <c r="E357" s="5"/>
      <c r="F357" s="5"/>
      <c r="G357" s="5"/>
      <c r="H357" s="5"/>
      <c r="I357" s="5"/>
      <c r="J357" s="5"/>
      <c r="K357" s="5"/>
      <c r="L357" s="5"/>
      <c r="M357" s="5"/>
    </row>
    <row r="358" spans="1:17" x14ac:dyDescent="0.3">
      <c r="B358" s="12" t="s">
        <v>484</v>
      </c>
      <c r="C358" s="6">
        <v>3</v>
      </c>
      <c r="D358" s="5"/>
      <c r="E358" s="5"/>
      <c r="F358" s="5"/>
      <c r="G358" s="5"/>
      <c r="H358" s="5"/>
      <c r="I358" s="5"/>
      <c r="J358" s="5"/>
      <c r="K358" s="5"/>
      <c r="L358" s="5"/>
      <c r="M358" s="5"/>
    </row>
    <row r="359" spans="1:17" x14ac:dyDescent="0.3">
      <c r="B359" s="12" t="s">
        <v>449</v>
      </c>
      <c r="C359" s="6" t="s">
        <v>2611</v>
      </c>
      <c r="D359" s="5"/>
      <c r="E359" s="5"/>
      <c r="F359" s="5"/>
      <c r="G359" s="5"/>
      <c r="H359" s="5"/>
      <c r="I359" s="5"/>
      <c r="J359" s="5"/>
      <c r="K359" s="5"/>
      <c r="L359" s="5"/>
      <c r="M359" s="5"/>
    </row>
    <row r="360" spans="1:17" x14ac:dyDescent="0.3">
      <c r="B360" s="12" t="s">
        <v>937</v>
      </c>
      <c r="C360" s="6">
        <v>1</v>
      </c>
      <c r="D360" s="5"/>
      <c r="E360" s="5"/>
      <c r="F360" s="5"/>
      <c r="G360" s="5"/>
      <c r="H360" s="5"/>
      <c r="I360" s="5"/>
      <c r="J360" s="5"/>
      <c r="K360" s="5"/>
      <c r="L360" s="5"/>
      <c r="M360" s="5"/>
    </row>
    <row r="361" spans="1:17" x14ac:dyDescent="0.3">
      <c r="B361" s="12" t="s">
        <v>485</v>
      </c>
      <c r="C361" s="6">
        <v>4.1669999999999999E-2</v>
      </c>
      <c r="D361" s="5"/>
      <c r="E361" s="5"/>
      <c r="F361" s="5"/>
      <c r="G361" s="5"/>
      <c r="H361" s="5"/>
      <c r="I361" s="5"/>
      <c r="J361" s="5"/>
      <c r="K361" s="5"/>
      <c r="L361" s="5"/>
      <c r="M361" s="5"/>
    </row>
    <row r="362" spans="1:17" x14ac:dyDescent="0.3">
      <c r="B362" s="12" t="s">
        <v>486</v>
      </c>
      <c r="C362" s="6">
        <v>52</v>
      </c>
      <c r="D362" s="6">
        <v>52</v>
      </c>
      <c r="E362" s="6">
        <v>52</v>
      </c>
      <c r="F362" s="6"/>
      <c r="G362" s="6"/>
      <c r="H362" s="6"/>
      <c r="I362" s="6"/>
      <c r="J362" s="6"/>
      <c r="K362" s="6"/>
      <c r="L362" s="5"/>
      <c r="M362" s="5"/>
      <c r="N362" s="37"/>
      <c r="O362" s="37"/>
      <c r="P362" s="37"/>
      <c r="Q362" s="37"/>
    </row>
    <row r="363" spans="1:17" x14ac:dyDescent="0.3">
      <c r="B363" s="12" t="s">
        <v>487</v>
      </c>
      <c r="C363" s="6">
        <v>-80</v>
      </c>
      <c r="D363" s="6">
        <v>-116</v>
      </c>
      <c r="E363" s="1">
        <v>0</v>
      </c>
      <c r="F363" s="6"/>
      <c r="G363" s="6"/>
      <c r="H363" s="6"/>
      <c r="I363" s="6"/>
      <c r="J363" s="6"/>
      <c r="K363" s="6"/>
      <c r="L363" s="5"/>
      <c r="M363" s="5"/>
      <c r="N363" s="37"/>
      <c r="O363" s="37"/>
      <c r="P363" s="37"/>
      <c r="Q363" s="37"/>
    </row>
    <row r="364" spans="1:17" x14ac:dyDescent="0.3">
      <c r="B364" s="19"/>
      <c r="C364" s="5" t="s">
        <v>518</v>
      </c>
      <c r="D364" s="5"/>
      <c r="E364" s="5"/>
      <c r="F364" s="5"/>
      <c r="G364" s="5"/>
      <c r="H364" s="5"/>
      <c r="I364" s="5"/>
      <c r="J364" s="5"/>
      <c r="K364" s="5"/>
      <c r="L364" s="5"/>
      <c r="M364" s="5"/>
    </row>
    <row r="365" spans="1:17" x14ac:dyDescent="0.3">
      <c r="A365" s="27" t="s">
        <v>1430</v>
      </c>
      <c r="B365" s="66" t="s">
        <v>1423</v>
      </c>
      <c r="C365" s="38" t="s">
        <v>1439</v>
      </c>
      <c r="D365" s="5"/>
      <c r="E365" s="5"/>
      <c r="F365" s="5"/>
      <c r="G365" s="5"/>
      <c r="H365" s="5"/>
      <c r="I365" s="5"/>
      <c r="J365" s="5"/>
      <c r="K365" s="5"/>
      <c r="L365" s="5"/>
      <c r="M365" s="5"/>
    </row>
    <row r="366" spans="1:17" x14ac:dyDescent="0.3">
      <c r="A366" s="27" t="s">
        <v>1431</v>
      </c>
      <c r="B366" s="12" t="s">
        <v>1424</v>
      </c>
      <c r="C366" s="6" t="s">
        <v>2</v>
      </c>
      <c r="D366" s="5"/>
      <c r="E366" s="5"/>
      <c r="F366" s="5"/>
      <c r="G366" s="5"/>
      <c r="H366" s="5"/>
      <c r="I366" s="5"/>
      <c r="J366" s="5"/>
      <c r="K366" s="5"/>
      <c r="L366" s="5"/>
      <c r="M366" s="5"/>
    </row>
    <row r="367" spans="1:17" x14ac:dyDescent="0.3">
      <c r="B367" s="12" t="s">
        <v>1441</v>
      </c>
      <c r="C367" s="6">
        <v>4.1669999999999999E-2</v>
      </c>
      <c r="D367" s="5"/>
      <c r="E367" s="5"/>
      <c r="F367" s="5"/>
      <c r="G367" s="5"/>
      <c r="H367" s="5"/>
      <c r="I367" s="5"/>
      <c r="J367" s="5"/>
      <c r="K367" s="5"/>
      <c r="L367" s="5"/>
      <c r="M367" s="5"/>
    </row>
    <row r="368" spans="1:17" x14ac:dyDescent="0.3">
      <c r="B368" s="19"/>
      <c r="C368" s="5" t="s">
        <v>518</v>
      </c>
      <c r="D368" s="5"/>
      <c r="E368" s="5"/>
      <c r="F368" s="5"/>
      <c r="G368" s="5"/>
      <c r="H368" s="5"/>
      <c r="I368" s="5"/>
      <c r="J368" s="5"/>
      <c r="K368" s="5"/>
      <c r="L368" s="5"/>
      <c r="M368" s="5"/>
    </row>
    <row r="369" spans="1:13" x14ac:dyDescent="0.3">
      <c r="A369" s="27" t="s">
        <v>1432</v>
      </c>
      <c r="B369" s="66" t="s">
        <v>1425</v>
      </c>
      <c r="C369" s="38" t="s">
        <v>1426</v>
      </c>
      <c r="D369" s="5"/>
      <c r="E369" s="5"/>
      <c r="F369" s="5"/>
      <c r="G369" s="5"/>
      <c r="H369" s="5"/>
      <c r="I369" s="5"/>
      <c r="J369" s="5"/>
      <c r="K369" s="5"/>
      <c r="L369" s="5"/>
      <c r="M369" s="5"/>
    </row>
    <row r="370" spans="1:13" x14ac:dyDescent="0.3">
      <c r="A370" s="27" t="s">
        <v>1433</v>
      </c>
      <c r="B370" s="12" t="s">
        <v>1964</v>
      </c>
      <c r="C370" s="6" t="s">
        <v>17</v>
      </c>
      <c r="D370" s="5"/>
      <c r="E370" s="5"/>
      <c r="F370" s="5"/>
      <c r="G370" s="5"/>
      <c r="H370" s="5"/>
      <c r="I370" s="5"/>
      <c r="J370" s="5"/>
      <c r="K370" s="5"/>
      <c r="L370" s="5"/>
      <c r="M370" s="5"/>
    </row>
    <row r="371" spans="1:13" x14ac:dyDescent="0.3">
      <c r="B371" s="12" t="s">
        <v>1427</v>
      </c>
      <c r="C371" s="6">
        <v>7</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1434</v>
      </c>
      <c r="B373" s="66" t="s">
        <v>1440</v>
      </c>
      <c r="C373" s="38" t="s">
        <v>1428</v>
      </c>
      <c r="D373" s="5"/>
      <c r="E373" s="5"/>
      <c r="F373" s="5"/>
      <c r="G373" s="5"/>
      <c r="H373" s="5"/>
      <c r="I373" s="5"/>
      <c r="J373" s="5"/>
      <c r="K373" s="5"/>
      <c r="L373" s="5"/>
      <c r="M373" s="5"/>
    </row>
    <row r="374" spans="1:13" x14ac:dyDescent="0.3">
      <c r="A374" s="27" t="s">
        <v>1433</v>
      </c>
      <c r="B374" s="12" t="s">
        <v>1965</v>
      </c>
      <c r="C374" s="6" t="s">
        <v>17</v>
      </c>
      <c r="D374" s="5"/>
      <c r="E374" s="5"/>
      <c r="F374" s="5"/>
      <c r="G374" s="5"/>
      <c r="H374" s="5"/>
      <c r="I374" s="5"/>
      <c r="J374" s="5"/>
      <c r="K374" s="5"/>
      <c r="L374" s="5"/>
      <c r="M374" s="5"/>
    </row>
    <row r="375" spans="1:13" x14ac:dyDescent="0.3">
      <c r="A375" s="27" t="s">
        <v>1435</v>
      </c>
      <c r="B375" s="12" t="s">
        <v>1429</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1</v>
      </c>
      <c r="D380" s="5"/>
      <c r="E380" s="5"/>
      <c r="F380" s="5"/>
      <c r="G380" s="5"/>
      <c r="H380" s="5"/>
      <c r="I380" s="5"/>
      <c r="J380" s="5"/>
      <c r="K380" s="5"/>
      <c r="L380" s="5"/>
      <c r="M380" s="5"/>
    </row>
    <row r="381" spans="1:13" x14ac:dyDescent="0.3">
      <c r="B381" s="12" t="s">
        <v>450</v>
      </c>
      <c r="C381" s="6" t="s">
        <v>1111</v>
      </c>
      <c r="D381" s="5"/>
      <c r="E381" s="5"/>
      <c r="F381" s="5"/>
      <c r="G381" s="5"/>
      <c r="H381" s="5"/>
      <c r="I381" s="5"/>
      <c r="J381" s="5"/>
      <c r="K381" s="5"/>
      <c r="L381" s="5"/>
      <c r="M381" s="5"/>
    </row>
    <row r="382" spans="1:13" x14ac:dyDescent="0.3">
      <c r="B382" s="12" t="s">
        <v>938</v>
      </c>
      <c r="C382" s="6">
        <v>1.0208330000000001</v>
      </c>
      <c r="D382" s="6"/>
      <c r="E382" s="6"/>
      <c r="F382" s="6"/>
      <c r="G382" s="6"/>
      <c r="H382" s="5"/>
      <c r="I382" s="5"/>
      <c r="J382" s="5"/>
      <c r="K382" s="5"/>
      <c r="L382" s="5"/>
      <c r="M382" s="5"/>
    </row>
    <row r="383" spans="1:13" x14ac:dyDescent="0.3">
      <c r="B383" s="12" t="s">
        <v>492</v>
      </c>
      <c r="C383" s="6">
        <v>4.1667000000000003E-2</v>
      </c>
      <c r="D383" s="6"/>
      <c r="E383" s="6"/>
      <c r="F383" s="6"/>
      <c r="G383" s="6"/>
      <c r="H383" s="5"/>
      <c r="I383" s="5"/>
      <c r="J383" s="5"/>
      <c r="K383" s="5"/>
      <c r="L383" s="5"/>
      <c r="M383" s="5"/>
    </row>
    <row r="384" spans="1:13" x14ac:dyDescent="0.3">
      <c r="B384" s="12" t="s">
        <v>493</v>
      </c>
      <c r="C384" s="6">
        <v>52</v>
      </c>
      <c r="D384" s="6"/>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2</v>
      </c>
      <c r="D387" s="5"/>
      <c r="E387" s="5"/>
      <c r="F387" s="5"/>
      <c r="G387" s="5"/>
      <c r="H387" s="5"/>
      <c r="I387" s="5"/>
      <c r="J387" s="5"/>
      <c r="K387" s="5"/>
      <c r="L387" s="5"/>
      <c r="M387" s="5"/>
    </row>
    <row r="388" spans="1:27" x14ac:dyDescent="0.3">
      <c r="B388" s="12" t="s">
        <v>495</v>
      </c>
      <c r="C388" s="6">
        <v>1</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1771</v>
      </c>
      <c r="D390" s="5"/>
      <c r="E390" s="5"/>
      <c r="F390" s="5"/>
      <c r="G390" s="5"/>
      <c r="H390" s="5"/>
      <c r="I390" s="5"/>
      <c r="J390" s="5"/>
      <c r="K390" s="5"/>
      <c r="L390" s="5"/>
      <c r="M390" s="5"/>
    </row>
    <row r="391" spans="1:27" x14ac:dyDescent="0.3">
      <c r="B391" s="12" t="s">
        <v>939</v>
      </c>
      <c r="C391" s="6">
        <v>365</v>
      </c>
      <c r="D391" s="6"/>
      <c r="E391" s="6"/>
      <c r="F391" s="6"/>
      <c r="G391" s="5"/>
      <c r="H391" s="5"/>
      <c r="I391" s="5"/>
      <c r="J391" s="5"/>
      <c r="K391" s="5"/>
      <c r="L391" s="5"/>
      <c r="M391" s="5"/>
      <c r="AA391" s="3"/>
    </row>
    <row r="392" spans="1:27" x14ac:dyDescent="0.3">
      <c r="B392" s="12" t="s">
        <v>940</v>
      </c>
      <c r="C392" s="6">
        <v>100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1668</v>
      </c>
      <c r="B394" s="66" t="s">
        <v>577</v>
      </c>
      <c r="C394" s="38" t="s">
        <v>50</v>
      </c>
      <c r="D394" s="5" t="s">
        <v>51</v>
      </c>
      <c r="E394" s="5" t="s">
        <v>52</v>
      </c>
      <c r="F394" s="5" t="s">
        <v>1667</v>
      </c>
      <c r="G394" s="5" t="s">
        <v>1666</v>
      </c>
      <c r="H394" s="5"/>
      <c r="I394" s="5"/>
      <c r="J394" s="5"/>
      <c r="K394" s="5"/>
      <c r="L394" s="5"/>
      <c r="M394" s="5"/>
    </row>
    <row r="395" spans="1:27" x14ac:dyDescent="0.3">
      <c r="A395" s="62" t="s">
        <v>1669</v>
      </c>
      <c r="B395" s="12" t="s">
        <v>1670</v>
      </c>
      <c r="C395" s="6" t="s">
        <v>17</v>
      </c>
      <c r="D395" s="6" t="s">
        <v>17</v>
      </c>
      <c r="E395" s="6">
        <v>1</v>
      </c>
      <c r="F395" s="6">
        <v>400</v>
      </c>
      <c r="G395" s="6" t="s">
        <v>1665</v>
      </c>
    </row>
    <row r="396" spans="1:27" x14ac:dyDescent="0.3">
      <c r="B396" s="19"/>
      <c r="C396" s="5" t="s">
        <v>518</v>
      </c>
      <c r="D396" s="5"/>
      <c r="E396" s="5"/>
      <c r="F396" s="5"/>
      <c r="G396" s="5"/>
      <c r="H396" s="5"/>
      <c r="I396" s="5"/>
      <c r="J396" s="5"/>
      <c r="K396" s="5"/>
      <c r="L396" s="5"/>
    </row>
    <row r="397" spans="1:27" x14ac:dyDescent="0.3">
      <c r="B397" s="66" t="s">
        <v>1407</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1420</v>
      </c>
      <c r="C398" s="6" t="s">
        <v>17</v>
      </c>
      <c r="D398" s="6"/>
      <c r="E398" s="6"/>
      <c r="F398" s="6"/>
      <c r="G398" s="6"/>
      <c r="H398" s="6"/>
      <c r="I398" s="6"/>
      <c r="J398" s="6"/>
      <c r="K398" s="6"/>
      <c r="L398" s="6"/>
    </row>
    <row r="399" spans="1:27" x14ac:dyDescent="0.3">
      <c r="B399" s="12" t="s">
        <v>1419</v>
      </c>
      <c r="C399" s="6" t="s">
        <v>17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1112</v>
      </c>
      <c r="E401" s="5" t="s">
        <v>1113</v>
      </c>
      <c r="F401" s="5" t="s">
        <v>1114</v>
      </c>
      <c r="G401" s="5" t="s">
        <v>1115</v>
      </c>
      <c r="H401" s="5" t="s">
        <v>1116</v>
      </c>
      <c r="I401" s="5" t="s">
        <v>1117</v>
      </c>
      <c r="J401" s="41" t="s">
        <v>1408</v>
      </c>
      <c r="K401" s="5" t="s">
        <v>1118</v>
      </c>
      <c r="L401" s="5" t="s">
        <v>1280</v>
      </c>
      <c r="M401" s="5" t="s">
        <v>1281</v>
      </c>
      <c r="N401" s="5" t="s">
        <v>1393</v>
      </c>
      <c r="O401" s="5"/>
      <c r="P401" s="5"/>
      <c r="Q401" s="5"/>
      <c r="R401" s="5"/>
      <c r="S401" s="5"/>
      <c r="T401" s="5"/>
      <c r="U401" s="5"/>
      <c r="V401" s="5"/>
      <c r="W401" s="5"/>
      <c r="X401" s="5"/>
      <c r="Y401" s="5"/>
      <c r="Z401" s="5"/>
      <c r="AA401" s="5"/>
      <c r="AB401" s="5"/>
      <c r="AC401" s="5"/>
      <c r="AD401" s="5"/>
      <c r="AE401" s="5"/>
      <c r="AF401" s="5"/>
    </row>
    <row r="402" spans="1:34" x14ac:dyDescent="0.3">
      <c r="A402" t="s">
        <v>664</v>
      </c>
      <c r="B402" s="13">
        <v>1</v>
      </c>
      <c r="C402" s="6" t="s">
        <v>1119</v>
      </c>
      <c r="D402" s="6" t="s">
        <v>1376</v>
      </c>
      <c r="E402" s="6" t="s">
        <v>1077</v>
      </c>
      <c r="F402" s="6" t="s">
        <v>1331</v>
      </c>
      <c r="G402" s="6">
        <v>1</v>
      </c>
      <c r="H402" s="6">
        <v>51</v>
      </c>
      <c r="I402" s="6" t="s">
        <v>17</v>
      </c>
      <c r="J402" s="37"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8" t="s">
        <v>1013</v>
      </c>
      <c r="B403" s="12">
        <v>2</v>
      </c>
      <c r="C403" s="6" t="s">
        <v>1120</v>
      </c>
      <c r="D403" s="6" t="s">
        <v>1377</v>
      </c>
      <c r="E403" s="6" t="s">
        <v>1077</v>
      </c>
      <c r="F403" s="6" t="s">
        <v>1331</v>
      </c>
      <c r="G403" s="6">
        <v>1</v>
      </c>
      <c r="H403" s="6">
        <v>100</v>
      </c>
      <c r="I403" s="6" t="s">
        <v>17</v>
      </c>
      <c r="J403" s="37"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3">
        <v>3</v>
      </c>
      <c r="C404" s="6" t="s">
        <v>1121</v>
      </c>
      <c r="D404" s="6" t="s">
        <v>2541</v>
      </c>
      <c r="E404" s="6" t="s">
        <v>1077</v>
      </c>
      <c r="F404" s="6" t="s">
        <v>1331</v>
      </c>
      <c r="G404" s="6">
        <v>1</v>
      </c>
      <c r="H404" s="6">
        <v>0</v>
      </c>
      <c r="I404" s="6" t="s">
        <v>1077</v>
      </c>
      <c r="J404" s="37"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2">
        <v>4</v>
      </c>
      <c r="C405" s="6" t="s">
        <v>1122</v>
      </c>
      <c r="D405" s="6" t="s">
        <v>1378</v>
      </c>
      <c r="E405" s="6" t="s">
        <v>1077</v>
      </c>
      <c r="F405" s="6" t="s">
        <v>1331</v>
      </c>
      <c r="G405" s="6">
        <v>1</v>
      </c>
      <c r="H405" s="6">
        <v>10</v>
      </c>
      <c r="I405" s="6" t="s">
        <v>1077</v>
      </c>
      <c r="J405" s="37"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3">
        <v>5</v>
      </c>
      <c r="C406" s="6" t="s">
        <v>1123</v>
      </c>
      <c r="D406" s="6" t="s">
        <v>1284</v>
      </c>
      <c r="E406" s="69" t="s">
        <v>1077</v>
      </c>
      <c r="F406" s="69" t="s">
        <v>1331</v>
      </c>
      <c r="G406" s="69">
        <v>1</v>
      </c>
      <c r="H406" s="69">
        <v>2</v>
      </c>
      <c r="I406" s="69" t="s">
        <v>17</v>
      </c>
      <c r="J406" s="37" t="s">
        <v>17</v>
      </c>
      <c r="K406" s="69" t="s">
        <v>1077</v>
      </c>
      <c r="L406" s="69" t="s">
        <v>1077</v>
      </c>
      <c r="M406" s="69" t="s">
        <v>1077</v>
      </c>
      <c r="N406" s="69" t="s">
        <v>1077</v>
      </c>
      <c r="O406" s="6"/>
      <c r="P406" s="6"/>
      <c r="Q406" s="6"/>
      <c r="R406" s="6"/>
      <c r="S406" s="6"/>
      <c r="T406" s="6"/>
      <c r="U406" s="6"/>
      <c r="W406" s="6"/>
      <c r="X406" s="6"/>
      <c r="Y406" s="6"/>
      <c r="Z406" s="6"/>
      <c r="AA406" s="6"/>
      <c r="AB406" s="6"/>
      <c r="AC406" s="6"/>
      <c r="AD406" s="6"/>
      <c r="AE406" s="6"/>
      <c r="AF406" s="6"/>
      <c r="AH406" s="6"/>
    </row>
    <row r="407" spans="1:34" x14ac:dyDescent="0.3">
      <c r="B407" s="12">
        <v>6</v>
      </c>
      <c r="C407" s="14" t="s">
        <v>1735</v>
      </c>
      <c r="D407" s="68" t="s">
        <v>795</v>
      </c>
      <c r="E407" s="69" t="s">
        <v>2</v>
      </c>
      <c r="F407" s="69" t="s">
        <v>1331</v>
      </c>
      <c r="G407" s="69">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39" t="s">
        <v>1404</v>
      </c>
      <c r="B408" s="13">
        <v>7</v>
      </c>
      <c r="C408" s="14" t="s">
        <v>1736</v>
      </c>
      <c r="D408" s="68" t="s">
        <v>797</v>
      </c>
      <c r="E408" s="6" t="s">
        <v>1077</v>
      </c>
      <c r="F408" s="69" t="s">
        <v>1331</v>
      </c>
      <c r="G408" s="69">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7" t="s">
        <v>1405</v>
      </c>
      <c r="B409" s="70">
        <v>8</v>
      </c>
      <c r="C409" s="6" t="s">
        <v>1737</v>
      </c>
      <c r="D409" s="6" t="s">
        <v>1738</v>
      </c>
      <c r="E409" s="6" t="s">
        <v>1077</v>
      </c>
      <c r="F409" s="69" t="s">
        <v>1331</v>
      </c>
      <c r="G409" s="69">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7" t="s">
        <v>1834</v>
      </c>
      <c r="B410" s="13">
        <v>9</v>
      </c>
      <c r="C410" s="6" t="s">
        <v>1739</v>
      </c>
      <c r="D410" s="6" t="s">
        <v>1740</v>
      </c>
      <c r="E410" s="6" t="s">
        <v>1077</v>
      </c>
      <c r="F410" s="69" t="s">
        <v>1331</v>
      </c>
      <c r="G410" s="69">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7" t="s">
        <v>1833</v>
      </c>
      <c r="B411" s="70">
        <v>10</v>
      </c>
      <c r="C411" s="6" t="s">
        <v>1712</v>
      </c>
      <c r="D411" s="6" t="s">
        <v>1741</v>
      </c>
      <c r="E411" s="6" t="s">
        <v>1077</v>
      </c>
      <c r="F411" s="69" t="s">
        <v>1331</v>
      </c>
      <c r="G411" s="69">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7" t="s">
        <v>1835</v>
      </c>
      <c r="B412" s="13">
        <v>11</v>
      </c>
      <c r="C412" s="6" t="s">
        <v>1713</v>
      </c>
      <c r="D412" s="6" t="s">
        <v>1742</v>
      </c>
      <c r="E412" s="6" t="s">
        <v>1077</v>
      </c>
      <c r="F412" s="69" t="s">
        <v>1331</v>
      </c>
      <c r="G412" s="69">
        <v>1</v>
      </c>
      <c r="H412" s="6">
        <v>0</v>
      </c>
      <c r="I412" s="6" t="s">
        <v>1077</v>
      </c>
      <c r="J412" s="6" t="s">
        <v>1077</v>
      </c>
      <c r="K412" s="6" t="s">
        <v>1077</v>
      </c>
      <c r="L412" s="6" t="s">
        <v>1077</v>
      </c>
      <c r="M412" s="6" t="s">
        <v>1077</v>
      </c>
      <c r="N412" s="6" t="s">
        <v>1077</v>
      </c>
      <c r="O412" s="6"/>
      <c r="P412" s="17"/>
      <c r="Q412" s="6"/>
      <c r="R412" s="6"/>
      <c r="S412" s="6"/>
      <c r="T412" s="6"/>
      <c r="U412" s="6"/>
      <c r="W412" s="6"/>
      <c r="X412" s="6"/>
      <c r="Y412" s="6"/>
      <c r="Z412" s="6"/>
      <c r="AA412" s="6"/>
      <c r="AB412" s="6"/>
      <c r="AC412" s="6"/>
      <c r="AD412" s="6"/>
      <c r="AE412" s="6"/>
      <c r="AF412" s="6"/>
      <c r="AH412" s="6"/>
    </row>
    <row r="413" spans="1:34" x14ac:dyDescent="0.3">
      <c r="A413" s="27" t="s">
        <v>1836</v>
      </c>
      <c r="B413" s="70">
        <v>12</v>
      </c>
      <c r="C413" s="6" t="s">
        <v>1743</v>
      </c>
      <c r="D413" s="6" t="s">
        <v>1744</v>
      </c>
      <c r="E413" s="6" t="s">
        <v>1077</v>
      </c>
      <c r="F413" s="69" t="s">
        <v>1331</v>
      </c>
      <c r="G413" s="69">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7" t="s">
        <v>1837</v>
      </c>
      <c r="B414" s="13">
        <v>13</v>
      </c>
      <c r="C414" s="6" t="s">
        <v>1745</v>
      </c>
      <c r="D414" s="6" t="s">
        <v>1746</v>
      </c>
      <c r="E414" s="6" t="s">
        <v>1077</v>
      </c>
      <c r="F414" s="69" t="s">
        <v>1331</v>
      </c>
      <c r="G414" s="69">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7" t="s">
        <v>1838</v>
      </c>
      <c r="B415" s="70">
        <v>14</v>
      </c>
      <c r="C415" s="6" t="s">
        <v>1747</v>
      </c>
      <c r="D415" s="6" t="s">
        <v>1748</v>
      </c>
      <c r="E415" s="6" t="s">
        <v>1077</v>
      </c>
      <c r="F415" s="69" t="s">
        <v>1331</v>
      </c>
      <c r="G415" s="69">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7" t="s">
        <v>1839</v>
      </c>
      <c r="B416" s="13">
        <v>15</v>
      </c>
      <c r="C416" s="6" t="s">
        <v>1749</v>
      </c>
      <c r="D416" s="6" t="s">
        <v>1750</v>
      </c>
      <c r="E416" s="6" t="s">
        <v>1077</v>
      </c>
      <c r="F416" s="69" t="s">
        <v>1331</v>
      </c>
      <c r="G416" s="69">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7" t="s">
        <v>1406</v>
      </c>
      <c r="B417" s="70">
        <v>16</v>
      </c>
      <c r="C417" s="6" t="s">
        <v>1751</v>
      </c>
      <c r="D417" s="6" t="s">
        <v>1752</v>
      </c>
      <c r="E417" s="6" t="s">
        <v>1077</v>
      </c>
      <c r="F417" s="6" t="s">
        <v>1331</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1124</v>
      </c>
      <c r="D418" s="6" t="s">
        <v>1379</v>
      </c>
      <c r="E418" s="17" t="s">
        <v>1077</v>
      </c>
      <c r="F418" s="6" t="s">
        <v>1331</v>
      </c>
      <c r="G418" s="6">
        <v>1</v>
      </c>
      <c r="H418" s="17">
        <v>0.01</v>
      </c>
      <c r="I418" s="17" t="s">
        <v>17</v>
      </c>
      <c r="J418" s="6" t="s">
        <v>17</v>
      </c>
      <c r="K418" s="17" t="s">
        <v>1077</v>
      </c>
      <c r="L418" s="17" t="s">
        <v>1077</v>
      </c>
      <c r="M418" s="17" t="s">
        <v>1077</v>
      </c>
      <c r="N418" s="17" t="s">
        <v>1077</v>
      </c>
      <c r="O418" s="6"/>
      <c r="P418" s="6"/>
      <c r="Q418" s="6"/>
      <c r="R418" s="6"/>
      <c r="S418" s="6"/>
      <c r="T418" s="6"/>
      <c r="U418" s="6"/>
      <c r="W418" s="6"/>
      <c r="X418" s="6"/>
      <c r="Y418" s="6"/>
      <c r="Z418" s="6"/>
      <c r="AA418" s="6"/>
      <c r="AB418" s="6"/>
      <c r="AC418" s="6"/>
      <c r="AD418" s="6"/>
      <c r="AE418" s="6"/>
      <c r="AF418" s="6"/>
      <c r="AH418" s="6"/>
    </row>
    <row r="419" spans="1:34" x14ac:dyDescent="0.3">
      <c r="A419" s="27">
        <f>IF($C$19=0,5+3*$C$16+3*$D$16+1,5+3*$C$16+3*$D$16+$C$19)</f>
        <v>21</v>
      </c>
      <c r="B419" s="12">
        <v>18</v>
      </c>
      <c r="C419" s="6" t="s">
        <v>1125</v>
      </c>
      <c r="D419" s="6" t="s">
        <v>1681</v>
      </c>
      <c r="E419" s="6" t="s">
        <v>1077</v>
      </c>
      <c r="F419" s="6" t="s">
        <v>1331</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3">
        <v>19</v>
      </c>
      <c r="C420" s="6" t="s">
        <v>1126</v>
      </c>
      <c r="D420" s="6" t="s">
        <v>1285</v>
      </c>
      <c r="E420" s="6" t="s">
        <v>1077</v>
      </c>
      <c r="F420" s="6" t="s">
        <v>1331</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2">
        <v>20</v>
      </c>
      <c r="C421" s="6" t="s">
        <v>1127</v>
      </c>
      <c r="D421" s="6" t="s">
        <v>1286</v>
      </c>
      <c r="E421" s="6" t="s">
        <v>1077</v>
      </c>
      <c r="F421" s="6" t="s">
        <v>1331</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3">
        <v>21</v>
      </c>
      <c r="C422" s="6" t="s">
        <v>1128</v>
      </c>
      <c r="D422" s="6" t="s">
        <v>1287</v>
      </c>
      <c r="E422" s="6" t="s">
        <v>1077</v>
      </c>
      <c r="F422" s="6" t="s">
        <v>1331</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2">
        <v>22</v>
      </c>
      <c r="C423" s="6" t="s">
        <v>1130</v>
      </c>
      <c r="D423" s="6" t="s">
        <v>1289</v>
      </c>
      <c r="E423" s="6" t="s">
        <v>1077</v>
      </c>
      <c r="F423" s="6" t="s">
        <v>1331</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3">
        <v>23</v>
      </c>
      <c r="C424" s="6" t="s">
        <v>1131</v>
      </c>
      <c r="D424" s="6" t="s">
        <v>1290</v>
      </c>
      <c r="E424" s="6" t="s">
        <v>1077</v>
      </c>
      <c r="F424" s="6" t="s">
        <v>1331</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2">
        <v>24</v>
      </c>
      <c r="C425" s="6" t="s">
        <v>1132</v>
      </c>
      <c r="D425" s="6" t="s">
        <v>1291</v>
      </c>
      <c r="E425" s="6" t="s">
        <v>1077</v>
      </c>
      <c r="F425" s="6" t="s">
        <v>1331</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3">
        <v>25</v>
      </c>
      <c r="C426" s="6" t="s">
        <v>1133</v>
      </c>
      <c r="D426" s="6" t="s">
        <v>1292</v>
      </c>
      <c r="E426" s="6" t="s">
        <v>1077</v>
      </c>
      <c r="F426" s="6" t="s">
        <v>1331</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2">
        <v>26</v>
      </c>
      <c r="C427" s="6" t="s">
        <v>1134</v>
      </c>
      <c r="D427" s="6" t="s">
        <v>1293</v>
      </c>
      <c r="E427" s="6" t="s">
        <v>1077</v>
      </c>
      <c r="F427" s="6" t="s">
        <v>1331</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3">
        <v>27</v>
      </c>
      <c r="C428" s="6" t="s">
        <v>1135</v>
      </c>
      <c r="D428" s="6" t="s">
        <v>1294</v>
      </c>
      <c r="E428" s="6" t="s">
        <v>1077</v>
      </c>
      <c r="F428" s="6" t="s">
        <v>1331</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2">
        <v>28</v>
      </c>
      <c r="C429" s="6" t="s">
        <v>1136</v>
      </c>
      <c r="D429" s="6" t="s">
        <v>1295</v>
      </c>
      <c r="E429" s="6" t="s">
        <v>1077</v>
      </c>
      <c r="F429" s="6" t="s">
        <v>1331</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3">
        <v>29</v>
      </c>
      <c r="C430" s="6" t="s">
        <v>1137</v>
      </c>
      <c r="D430" s="6" t="s">
        <v>1296</v>
      </c>
      <c r="E430" s="6" t="s">
        <v>1077</v>
      </c>
      <c r="F430" s="6" t="s">
        <v>1331</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2">
        <v>30</v>
      </c>
      <c r="C431" s="6" t="s">
        <v>1138</v>
      </c>
      <c r="D431" s="6" t="s">
        <v>1297</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3">
        <v>31</v>
      </c>
      <c r="C432" s="6" t="s">
        <v>1139</v>
      </c>
      <c r="D432" s="6" t="s">
        <v>1298</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2">
        <v>32</v>
      </c>
      <c r="C433" s="6" t="s">
        <v>1140</v>
      </c>
      <c r="D433" s="6" t="s">
        <v>1299</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3">
        <v>33</v>
      </c>
      <c r="C434" s="6" t="s">
        <v>1141</v>
      </c>
      <c r="D434" s="6" t="s">
        <v>1300</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2">
        <v>34</v>
      </c>
      <c r="C435" s="6" t="s">
        <v>1142</v>
      </c>
      <c r="D435" s="6" t="s">
        <v>1301</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3">
        <v>35</v>
      </c>
      <c r="C436" s="6" t="s">
        <v>1143</v>
      </c>
      <c r="D436" s="6" t="s">
        <v>1302</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2">
        <v>36</v>
      </c>
      <c r="C437" s="6" t="s">
        <v>1144</v>
      </c>
      <c r="D437" s="6" t="s">
        <v>1303</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3">
        <v>37</v>
      </c>
      <c r="C438" s="6" t="s">
        <v>1145</v>
      </c>
      <c r="D438" s="6" t="s">
        <v>1304</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2">
        <v>38</v>
      </c>
      <c r="C439" s="6" t="s">
        <v>1146</v>
      </c>
      <c r="D439" s="6" t="s">
        <v>1305</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7" t="s">
        <v>2556</v>
      </c>
      <c r="B440" s="13">
        <v>39</v>
      </c>
      <c r="C440" s="6" t="s">
        <v>1844</v>
      </c>
      <c r="D440" s="6" t="s">
        <v>2540</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2">
        <v>40</v>
      </c>
      <c r="C441" s="6" t="s">
        <v>1845</v>
      </c>
      <c r="D441" s="6" t="s">
        <v>2532</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3">
        <v>41</v>
      </c>
      <c r="C442" s="6" t="s">
        <v>1846</v>
      </c>
      <c r="D442" s="6" t="s">
        <v>2533</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2">
        <v>42</v>
      </c>
      <c r="C443" s="6" t="s">
        <v>1847</v>
      </c>
      <c r="D443" s="6" t="s">
        <v>2534</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1147</v>
      </c>
      <c r="D446" s="6" t="s">
        <v>1306</v>
      </c>
      <c r="E446" s="6" t="s">
        <v>1357</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7">
        <v>2</v>
      </c>
      <c r="B447" s="12"/>
      <c r="C447" s="6" t="s">
        <v>1149</v>
      </c>
      <c r="D447" s="6" t="s">
        <v>1307</v>
      </c>
      <c r="E447" s="6" t="s">
        <v>1357</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7">
        <v>3</v>
      </c>
      <c r="B448" s="12"/>
      <c r="C448" s="6" t="s">
        <v>1151</v>
      </c>
      <c r="D448" s="6" t="s">
        <v>1308</v>
      </c>
      <c r="E448" s="6" t="s">
        <v>1357</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7">
        <v>4</v>
      </c>
      <c r="B449" s="12"/>
      <c r="C449" s="6" t="s">
        <v>1153</v>
      </c>
      <c r="D449" s="6" t="s">
        <v>1309</v>
      </c>
      <c r="E449" s="6" t="s">
        <v>1686</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7">
        <v>5</v>
      </c>
      <c r="B450" s="12"/>
      <c r="C450" s="6" t="s">
        <v>1155</v>
      </c>
      <c r="D450" s="6" t="s">
        <v>1310</v>
      </c>
      <c r="E450" s="6" t="s">
        <v>1686</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7">
        <v>6</v>
      </c>
      <c r="B451" s="12"/>
      <c r="C451" s="6" t="s">
        <v>1157</v>
      </c>
      <c r="D451" s="6" t="s">
        <v>1678</v>
      </c>
      <c r="E451" s="6" t="s">
        <v>1686</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7">
        <v>7</v>
      </c>
      <c r="B452" s="12"/>
      <c r="C452" s="6" t="s">
        <v>1159</v>
      </c>
      <c r="D452" s="6" t="s">
        <v>1677</v>
      </c>
      <c r="E452" s="6" t="s">
        <v>1686</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7">
        <v>8</v>
      </c>
      <c r="B453" s="12"/>
      <c r="C453" s="6" t="s">
        <v>1161</v>
      </c>
      <c r="D453" s="6" t="s">
        <v>1676</v>
      </c>
      <c r="E453" s="6" t="s">
        <v>1679</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7">
        <v>9</v>
      </c>
      <c r="B454" s="12" t="s">
        <v>1680</v>
      </c>
      <c r="C454" s="6" t="s">
        <v>1674</v>
      </c>
      <c r="D454" s="6" t="s">
        <v>1675</v>
      </c>
      <c r="E454" s="6" t="s">
        <v>1679</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1163</v>
      </c>
      <c r="D455" s="6" t="s">
        <v>1311</v>
      </c>
      <c r="E455" s="6" t="s">
        <v>1679</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7">
        <v>11</v>
      </c>
      <c r="B456" s="12"/>
      <c r="C456" s="6" t="s">
        <v>1165</v>
      </c>
      <c r="D456" s="6" t="s">
        <v>1312</v>
      </c>
      <c r="E456" s="6" t="s">
        <v>1679</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7">
        <v>12</v>
      </c>
      <c r="B457" s="12"/>
      <c r="C457" s="6" t="s">
        <v>1167</v>
      </c>
      <c r="D457" s="6" t="s">
        <v>1313</v>
      </c>
      <c r="E457" s="6" t="s">
        <v>1679</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7">
        <v>13</v>
      </c>
      <c r="B458" s="12"/>
      <c r="C458" s="6" t="s">
        <v>1169</v>
      </c>
      <c r="D458" s="6" t="s">
        <v>1314</v>
      </c>
      <c r="E458" s="6" t="s">
        <v>1679</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7">
        <v>14</v>
      </c>
      <c r="B459" s="12"/>
      <c r="C459" s="6" t="s">
        <v>1171</v>
      </c>
      <c r="D459" s="6" t="s">
        <v>1315</v>
      </c>
      <c r="E459" s="6" t="s">
        <v>1357</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7">
        <v>15</v>
      </c>
      <c r="B460" s="12"/>
      <c r="C460" s="6" t="s">
        <v>1173</v>
      </c>
      <c r="D460" s="6" t="s">
        <v>1316</v>
      </c>
      <c r="E460" s="6" t="s">
        <v>1357</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7">
        <v>16</v>
      </c>
      <c r="B461" s="12"/>
      <c r="C461" s="6" t="s">
        <v>1175</v>
      </c>
      <c r="D461" s="6" t="s">
        <v>1317</v>
      </c>
      <c r="E461" s="6" t="s">
        <v>1357</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7">
        <v>17</v>
      </c>
      <c r="B462" s="12"/>
      <c r="C462" s="6" t="s">
        <v>1177</v>
      </c>
      <c r="D462" s="6" t="s">
        <v>1318</v>
      </c>
      <c r="E462" s="6" t="s">
        <v>1357</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7">
        <v>18</v>
      </c>
      <c r="B463" s="12" t="s">
        <v>2557</v>
      </c>
      <c r="C463" s="6" t="s">
        <v>1754</v>
      </c>
      <c r="D463" s="6" t="s">
        <v>1860</v>
      </c>
      <c r="E463" s="6" t="s">
        <v>1357</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7">
        <v>19</v>
      </c>
      <c r="B464" s="12" t="s">
        <v>1969</v>
      </c>
      <c r="C464" s="37" t="s">
        <v>1755</v>
      </c>
      <c r="D464" s="37" t="s">
        <v>1756</v>
      </c>
      <c r="E464" s="6" t="s">
        <v>1357</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7">
        <v>20</v>
      </c>
      <c r="B465" s="12"/>
      <c r="C465" s="6" t="s">
        <v>1179</v>
      </c>
      <c r="D465" s="6" t="s">
        <v>1319</v>
      </c>
      <c r="E465" s="6" t="s">
        <v>1357</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7">
        <v>21</v>
      </c>
      <c r="B466" s="12"/>
      <c r="C466" s="6" t="s">
        <v>1181</v>
      </c>
      <c r="D466" s="6" t="s">
        <v>1320</v>
      </c>
      <c r="E466" s="6" t="s">
        <v>1357</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7">
        <v>22</v>
      </c>
      <c r="B467" s="12"/>
      <c r="C467" s="6" t="s">
        <v>1183</v>
      </c>
      <c r="D467" s="6" t="s">
        <v>1321</v>
      </c>
      <c r="E467" s="6" t="s">
        <v>1357</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7">
        <v>23</v>
      </c>
      <c r="B468" s="12"/>
      <c r="C468" s="6" t="s">
        <v>1185</v>
      </c>
      <c r="D468" s="6" t="s">
        <v>1322</v>
      </c>
      <c r="E468" s="6" t="s">
        <v>1357</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7">
        <v>24</v>
      </c>
      <c r="B469" s="12"/>
      <c r="C469" s="6" t="s">
        <v>1187</v>
      </c>
      <c r="D469" s="6" t="s">
        <v>1323</v>
      </c>
      <c r="E469" s="6" t="s">
        <v>1357</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7">
        <v>25</v>
      </c>
      <c r="B470" s="12"/>
      <c r="C470" s="6" t="s">
        <v>1189</v>
      </c>
      <c r="D470" s="6" t="s">
        <v>1324</v>
      </c>
      <c r="E470" s="6" t="s">
        <v>1357</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1191</v>
      </c>
      <c r="D471" s="6" t="s">
        <v>1325</v>
      </c>
      <c r="E471" s="6" t="s">
        <v>1357</v>
      </c>
      <c r="F471" s="6">
        <v>1</v>
      </c>
      <c r="G471" s="6" t="s">
        <v>1077</v>
      </c>
      <c r="H471" s="6"/>
      <c r="I471" s="5"/>
      <c r="J471" s="5"/>
      <c r="K471" s="5"/>
      <c r="L471" s="5"/>
      <c r="M471" s="5"/>
      <c r="N471" s="5"/>
      <c r="O471" s="5"/>
      <c r="P471" s="5"/>
      <c r="Q471" s="5"/>
      <c r="R471" s="5"/>
      <c r="S471" s="5"/>
      <c r="T471" s="5"/>
      <c r="V471" s="6"/>
    </row>
    <row r="472" spans="1:25" x14ac:dyDescent="0.3">
      <c r="A472" s="27">
        <v>27</v>
      </c>
      <c r="B472" s="12" t="s">
        <v>1757</v>
      </c>
      <c r="C472" s="6" t="s">
        <v>1758</v>
      </c>
      <c r="D472" s="6" t="s">
        <v>1759</v>
      </c>
      <c r="E472" s="6" t="s">
        <v>1357</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1201</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1207</v>
      </c>
      <c r="D489" s="6" t="s">
        <v>1859</v>
      </c>
      <c r="E489" s="5"/>
      <c r="F489" s="5"/>
      <c r="G489" s="5"/>
      <c r="H489" s="5"/>
      <c r="I489" s="5"/>
      <c r="J489" s="5"/>
      <c r="K489" s="5"/>
      <c r="L489" s="5"/>
      <c r="M489" s="5"/>
      <c r="N489" s="5"/>
      <c r="O489" s="5"/>
      <c r="P489" s="5"/>
      <c r="Q489" s="4"/>
      <c r="R489" s="4"/>
      <c r="S489" s="4"/>
      <c r="T489" s="4"/>
    </row>
    <row r="490" spans="1:20" x14ac:dyDescent="0.3">
      <c r="A490" s="27">
        <v>16</v>
      </c>
      <c r="B490" s="15"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7">
        <v>17</v>
      </c>
      <c r="B491" s="15"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7">
        <v>25</v>
      </c>
      <c r="B499" s="15"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7">
        <v>26</v>
      </c>
      <c r="B500" s="15"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7">
        <v>27</v>
      </c>
      <c r="B501" s="15" t="s">
        <v>1684</v>
      </c>
      <c r="C501" s="6" t="s">
        <v>1685</v>
      </c>
      <c r="D501" s="6" t="s">
        <v>17</v>
      </c>
      <c r="E501" s="5"/>
      <c r="F501" s="5"/>
      <c r="G501" s="5"/>
      <c r="H501" s="5"/>
      <c r="I501" s="5"/>
      <c r="J501" s="5"/>
      <c r="K501" s="5"/>
      <c r="L501" s="5"/>
      <c r="M501" s="5"/>
      <c r="N501" s="5"/>
      <c r="O501" s="5"/>
      <c r="P501" s="5"/>
      <c r="Q501" s="4"/>
      <c r="R501" s="4"/>
      <c r="S501" s="4"/>
      <c r="T501" s="4"/>
    </row>
    <row r="502" spans="1:20" x14ac:dyDescent="0.3">
      <c r="A502" s="27">
        <v>28</v>
      </c>
      <c r="B502" s="15"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1226</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6">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1264</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2" t="s">
        <v>1394</v>
      </c>
      <c r="C566" s="6">
        <v>0</v>
      </c>
      <c r="D566" s="6">
        <v>0</v>
      </c>
      <c r="E566" s="6">
        <v>1.04</v>
      </c>
      <c r="F566" s="5"/>
      <c r="G566" s="5"/>
      <c r="H566" s="5"/>
      <c r="I566" s="5"/>
      <c r="J566" s="5"/>
      <c r="K566" s="5"/>
      <c r="L566" s="5"/>
      <c r="M566" s="5"/>
      <c r="N566" s="5"/>
      <c r="O566" s="5"/>
      <c r="P566" s="5"/>
    </row>
    <row r="567" spans="1:16" x14ac:dyDescent="0.3">
      <c r="B567" s="12" t="s">
        <v>904</v>
      </c>
      <c r="C567" s="6">
        <v>0</v>
      </c>
      <c r="D567" s="6">
        <v>-1</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1706</v>
      </c>
      <c r="B573" s="12" t="s">
        <v>1705</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1706</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1706</v>
      </c>
      <c r="B581" s="66" t="s">
        <v>1707</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1708</v>
      </c>
      <c r="C582" s="6">
        <v>1.04</v>
      </c>
      <c r="D582" s="6"/>
      <c r="E582" s="6"/>
      <c r="F582" s="5"/>
      <c r="G582" s="5"/>
      <c r="H582" s="5"/>
      <c r="I582" s="5"/>
      <c r="J582" s="5"/>
      <c r="K582" s="5"/>
      <c r="L582" s="5"/>
      <c r="M582" s="5"/>
      <c r="N582" s="5"/>
      <c r="O582" s="5"/>
      <c r="P582" s="5"/>
    </row>
    <row r="583" spans="1:16" x14ac:dyDescent="0.3">
      <c r="B583" s="12" t="s">
        <v>1709</v>
      </c>
      <c r="C583" s="6">
        <v>1.4</v>
      </c>
      <c r="D583" s="6"/>
      <c r="E583" s="6"/>
      <c r="F583" s="5"/>
      <c r="G583" s="5"/>
      <c r="H583" s="5"/>
      <c r="I583" s="5"/>
      <c r="J583" s="5"/>
      <c r="K583" s="5"/>
      <c r="L583" s="5"/>
      <c r="M583" s="5"/>
      <c r="N583" s="5"/>
      <c r="O583" s="5"/>
      <c r="P583" s="5"/>
    </row>
    <row r="584" spans="1:16" x14ac:dyDescent="0.3">
      <c r="B584" s="12" t="s">
        <v>1710</v>
      </c>
      <c r="C584" s="6">
        <v>0</v>
      </c>
      <c r="D584" s="6"/>
      <c r="E584" s="6"/>
      <c r="F584" s="5"/>
      <c r="G584" s="5"/>
      <c r="H584" s="5"/>
      <c r="I584" s="5"/>
      <c r="J584" s="5"/>
      <c r="K584" s="5"/>
      <c r="L584" s="5"/>
      <c r="M584" s="5"/>
      <c r="N584" s="5"/>
      <c r="O584" s="5"/>
      <c r="P584" s="5"/>
    </row>
    <row r="585" spans="1:16" x14ac:dyDescent="0.3">
      <c r="B585" s="12" t="s">
        <v>1711</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1706</v>
      </c>
      <c r="B587" s="66" t="s">
        <v>1712</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1714</v>
      </c>
      <c r="C588" s="6">
        <v>0.01</v>
      </c>
      <c r="D588" s="6"/>
      <c r="E588" s="6"/>
      <c r="F588" s="5"/>
      <c r="G588" s="5"/>
      <c r="H588" s="5"/>
      <c r="I588" s="5"/>
      <c r="J588" s="5"/>
      <c r="K588" s="5"/>
      <c r="L588" s="5"/>
      <c r="M588" s="5"/>
      <c r="N588" s="5"/>
      <c r="O588" s="5"/>
      <c r="P588" s="5"/>
    </row>
    <row r="589" spans="1:16" x14ac:dyDescent="0.3">
      <c r="B589" s="12" t="s">
        <v>1715</v>
      </c>
      <c r="C589" s="6">
        <v>1.04</v>
      </c>
      <c r="D589" s="6"/>
      <c r="E589" s="6"/>
      <c r="F589" s="5"/>
      <c r="G589" s="5"/>
      <c r="H589" s="5"/>
      <c r="I589" s="5"/>
      <c r="J589" s="5"/>
      <c r="K589" s="5"/>
      <c r="L589" s="5"/>
      <c r="M589" s="5"/>
      <c r="N589" s="5"/>
      <c r="O589" s="5"/>
      <c r="P589" s="5"/>
    </row>
    <row r="590" spans="1:16" x14ac:dyDescent="0.3">
      <c r="B590" s="12" t="s">
        <v>1718</v>
      </c>
      <c r="C590" s="6">
        <v>1E-3</v>
      </c>
      <c r="D590" s="6"/>
      <c r="E590" s="6"/>
      <c r="F590" s="5"/>
      <c r="G590" s="5"/>
      <c r="H590" s="5"/>
      <c r="I590" s="5"/>
      <c r="J590" s="5"/>
      <c r="K590" s="5"/>
      <c r="L590" s="5"/>
      <c r="M590" s="5"/>
      <c r="N590" s="5"/>
      <c r="O590" s="5"/>
      <c r="P590" s="5"/>
    </row>
    <row r="591" spans="1:16" x14ac:dyDescent="0.3">
      <c r="B591" s="12" t="s">
        <v>1720</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1706</v>
      </c>
      <c r="B593" s="66" t="s">
        <v>1713</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1717</v>
      </c>
      <c r="C594" s="6">
        <v>0.01</v>
      </c>
      <c r="D594" s="6"/>
      <c r="E594" s="6"/>
      <c r="F594" s="5"/>
      <c r="G594" s="5"/>
      <c r="H594" s="5"/>
      <c r="I594" s="5"/>
      <c r="J594" s="5"/>
      <c r="K594" s="5"/>
      <c r="L594" s="5"/>
      <c r="M594" s="5"/>
      <c r="N594" s="5"/>
      <c r="O594" s="5"/>
      <c r="P594" s="5"/>
    </row>
    <row r="595" spans="1:16" x14ac:dyDescent="0.3">
      <c r="B595" s="12" t="s">
        <v>1716</v>
      </c>
      <c r="C595" s="6">
        <v>1.04</v>
      </c>
      <c r="D595" s="6"/>
      <c r="E595" s="6"/>
      <c r="F595" s="5"/>
      <c r="G595" s="5"/>
      <c r="H595" s="5"/>
      <c r="I595" s="5"/>
      <c r="J595" s="5"/>
      <c r="K595" s="5"/>
      <c r="L595" s="5"/>
      <c r="M595" s="5"/>
      <c r="N595" s="5"/>
      <c r="O595" s="5"/>
      <c r="P595" s="5"/>
    </row>
    <row r="596" spans="1:16" x14ac:dyDescent="0.3">
      <c r="B596" s="12" t="s">
        <v>1719</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1706</v>
      </c>
      <c r="B598" s="66" t="s">
        <v>1722</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1977</v>
      </c>
      <c r="C599" s="6">
        <v>1E-3</v>
      </c>
      <c r="D599" s="6"/>
      <c r="E599" s="6"/>
      <c r="F599" s="5"/>
      <c r="G599" s="5"/>
      <c r="H599" s="5"/>
      <c r="I599" s="5"/>
      <c r="J599" s="5"/>
      <c r="K599" s="5"/>
      <c r="L599" s="5"/>
      <c r="M599" s="5"/>
      <c r="N599" s="5"/>
      <c r="O599" s="5"/>
      <c r="P599" s="5"/>
    </row>
    <row r="600" spans="1:16" x14ac:dyDescent="0.3">
      <c r="B600" s="12" t="s">
        <v>2176</v>
      </c>
      <c r="C600" s="6">
        <v>1</v>
      </c>
      <c r="D600" s="6"/>
      <c r="E600" s="6"/>
      <c r="F600" s="5"/>
      <c r="G600" s="5"/>
      <c r="H600" s="5"/>
      <c r="I600" s="5"/>
      <c r="J600" s="5"/>
      <c r="K600" s="5"/>
      <c r="L600" s="5"/>
      <c r="M600" s="5"/>
      <c r="N600" s="5"/>
      <c r="O600" s="5"/>
      <c r="P600" s="5"/>
    </row>
    <row r="601" spans="1:16" x14ac:dyDescent="0.3">
      <c r="B601" s="12" t="s">
        <v>1976</v>
      </c>
      <c r="C601" s="6">
        <v>4</v>
      </c>
      <c r="D601" s="6"/>
      <c r="E601" s="6"/>
      <c r="F601" s="5"/>
      <c r="G601" s="5"/>
      <c r="H601" s="5"/>
      <c r="I601" s="5"/>
      <c r="J601" s="5"/>
      <c r="K601" s="5"/>
      <c r="L601" s="5"/>
      <c r="M601" s="5"/>
      <c r="N601" s="5"/>
      <c r="O601" s="5"/>
      <c r="P601" s="5"/>
    </row>
    <row r="602" spans="1:16" x14ac:dyDescent="0.3">
      <c r="B602" s="12" t="s">
        <v>2175</v>
      </c>
      <c r="C602" s="6">
        <v>0.2</v>
      </c>
      <c r="D602" s="6"/>
      <c r="E602" s="6"/>
      <c r="F602" s="5"/>
      <c r="G602" s="5"/>
      <c r="H602" s="5"/>
      <c r="I602" s="5"/>
      <c r="J602" s="5"/>
      <c r="K602" s="5"/>
      <c r="L602" s="5"/>
      <c r="M602" s="5"/>
      <c r="N602" s="5"/>
      <c r="O602" s="5"/>
      <c r="P602" s="5"/>
    </row>
    <row r="603" spans="1:16" x14ac:dyDescent="0.3">
      <c r="B603" s="12" t="s">
        <v>1975</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1706</v>
      </c>
      <c r="B605" s="66" t="s">
        <v>1721</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1970</v>
      </c>
      <c r="C606" s="6">
        <v>1E-3</v>
      </c>
      <c r="D606" s="6"/>
      <c r="E606" s="6"/>
      <c r="F606" s="5"/>
      <c r="G606" s="5"/>
      <c r="H606" s="5"/>
      <c r="I606" s="5"/>
      <c r="J606" s="5"/>
      <c r="K606" s="5"/>
      <c r="L606" s="5"/>
      <c r="M606" s="5"/>
      <c r="N606" s="5"/>
      <c r="O606" s="5"/>
      <c r="P606" s="5"/>
    </row>
    <row r="607" spans="1:16" x14ac:dyDescent="0.3">
      <c r="B607" s="12" t="s">
        <v>1971</v>
      </c>
      <c r="C607" s="6">
        <v>0.01</v>
      </c>
      <c r="D607" s="6"/>
      <c r="E607" s="6"/>
      <c r="F607" s="5"/>
      <c r="G607" s="5"/>
      <c r="H607" s="5"/>
      <c r="I607" s="5"/>
      <c r="J607" s="5"/>
      <c r="K607" s="5"/>
      <c r="L607" s="5"/>
      <c r="M607" s="5"/>
      <c r="N607" s="5"/>
      <c r="O607" s="5"/>
      <c r="P607" s="5"/>
    </row>
    <row r="608" spans="1:16" x14ac:dyDescent="0.3">
      <c r="B608" s="12" t="s">
        <v>1972</v>
      </c>
      <c r="C608" s="6">
        <v>1E-3</v>
      </c>
      <c r="D608" s="6"/>
      <c r="E608" s="6"/>
      <c r="F608" s="5"/>
      <c r="G608" s="5"/>
      <c r="H608" s="5"/>
      <c r="I608" s="5"/>
      <c r="J608" s="5"/>
      <c r="K608" s="5"/>
      <c r="L608" s="5"/>
      <c r="M608" s="5"/>
      <c r="N608" s="5"/>
      <c r="O608" s="5"/>
      <c r="P608" s="5"/>
    </row>
    <row r="609" spans="2:16" x14ac:dyDescent="0.3">
      <c r="B609" s="12" t="s">
        <v>1973</v>
      </c>
      <c r="C609" s="6">
        <v>0.01</v>
      </c>
      <c r="D609" s="6"/>
      <c r="E609" s="6"/>
      <c r="F609" s="5"/>
      <c r="G609" s="5"/>
      <c r="H609" s="5"/>
      <c r="I609" s="5"/>
      <c r="J609" s="5"/>
      <c r="K609" s="5"/>
      <c r="L609" s="5"/>
      <c r="M609" s="5"/>
      <c r="N609" s="5"/>
      <c r="O609" s="5"/>
      <c r="P609" s="5"/>
    </row>
    <row r="610" spans="2:16" x14ac:dyDescent="0.3">
      <c r="B610" s="12" t="s">
        <v>1974</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1395</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1396</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2553</v>
      </c>
      <c r="B640" s="12" t="s">
        <v>2555</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1270</v>
      </c>
      <c r="D659" s="5" t="s">
        <v>196</v>
      </c>
      <c r="E659" s="5" t="s">
        <v>197</v>
      </c>
      <c r="F659" s="5" t="s">
        <v>198</v>
      </c>
      <c r="G659" s="5" t="s">
        <v>199</v>
      </c>
      <c r="H659" s="5" t="s">
        <v>200</v>
      </c>
      <c r="I659" s="5" t="s">
        <v>1271</v>
      </c>
      <c r="J659" s="5" t="s">
        <v>1272</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1397</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1398</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1273</v>
      </c>
      <c r="I738" s="5" t="s">
        <v>1274</v>
      </c>
      <c r="J738" s="5" t="s">
        <v>1275</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1399</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1400</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1401</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1765</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1769</v>
      </c>
      <c r="B793" s="12" t="s">
        <v>1766</v>
      </c>
      <c r="C793" s="6">
        <v>1.1000000000000001</v>
      </c>
      <c r="D793" s="6"/>
      <c r="E793" s="5"/>
      <c r="F793" s="5"/>
      <c r="G793" s="5"/>
      <c r="H793" s="5"/>
      <c r="I793" s="5"/>
      <c r="J793" s="5"/>
      <c r="K793" s="5"/>
      <c r="L793" s="5"/>
      <c r="M793" s="8"/>
    </row>
    <row r="794" spans="1:13" x14ac:dyDescent="0.3">
      <c r="B794" s="12" t="s">
        <v>1767</v>
      </c>
      <c r="C794" s="6">
        <v>0.05</v>
      </c>
      <c r="D794" s="6"/>
      <c r="E794" s="5"/>
      <c r="F794" s="5"/>
      <c r="G794" s="5"/>
      <c r="H794" s="5"/>
      <c r="I794" s="5"/>
      <c r="J794" s="5"/>
      <c r="K794" s="5"/>
      <c r="L794" s="5"/>
      <c r="M794" s="8"/>
    </row>
    <row r="795" spans="1:13" x14ac:dyDescent="0.3">
      <c r="A795" s="27" t="s">
        <v>1770</v>
      </c>
      <c r="B795" s="12" t="s">
        <v>1768</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1682</v>
      </c>
      <c r="B815" s="12" t="s">
        <v>1683</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1276</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1093</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47" x14ac:dyDescent="0.3">
      <c r="B849" s="19"/>
      <c r="C849" s="5" t="s">
        <v>518</v>
      </c>
      <c r="D849" s="5"/>
      <c r="E849" s="5"/>
      <c r="F849" s="5"/>
      <c r="G849" s="5"/>
      <c r="H849" s="5"/>
      <c r="I849" s="5"/>
      <c r="J849" s="5"/>
      <c r="K849" s="5"/>
      <c r="L849" s="5"/>
      <c r="M849" s="5"/>
    </row>
    <row r="850" spans="2:47" x14ac:dyDescent="0.3">
      <c r="B850" s="66"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2"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19"/>
      <c r="C852" s="5" t="s">
        <v>518</v>
      </c>
      <c r="D852" s="5"/>
      <c r="E852" s="5"/>
      <c r="F852" s="5"/>
      <c r="G852" s="5"/>
      <c r="H852" s="5"/>
      <c r="I852" s="5"/>
      <c r="J852" s="5"/>
      <c r="K852" s="5"/>
      <c r="L852" s="5"/>
      <c r="M852" s="5"/>
    </row>
    <row r="853" spans="2:4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2" t="s">
        <v>832</v>
      </c>
      <c r="C854" s="6" t="s">
        <v>1277</v>
      </c>
      <c r="D854" s="6"/>
      <c r="E854" s="5"/>
      <c r="F854" s="5"/>
      <c r="G854" s="5"/>
      <c r="H854" s="5"/>
      <c r="I854" s="5"/>
      <c r="J854" s="5"/>
      <c r="K854" s="5"/>
      <c r="L854" s="5"/>
      <c r="M854" s="5"/>
    </row>
    <row r="855" spans="2:47" x14ac:dyDescent="0.3">
      <c r="B855" s="12" t="s">
        <v>833</v>
      </c>
      <c r="C855" s="6">
        <v>2</v>
      </c>
      <c r="D855" s="6"/>
      <c r="E855" s="5"/>
      <c r="F855" s="5"/>
      <c r="G855" s="5"/>
      <c r="H855" s="5"/>
      <c r="I855" s="5"/>
      <c r="J855" s="5"/>
      <c r="K855" s="5"/>
      <c r="L855" s="5"/>
      <c r="M855" s="5"/>
    </row>
    <row r="856" spans="2:47" x14ac:dyDescent="0.3">
      <c r="B856" s="12" t="s">
        <v>2502</v>
      </c>
      <c r="C856" s="6">
        <v>0</v>
      </c>
      <c r="D856" s="6"/>
      <c r="E856" s="5"/>
      <c r="F856" s="5"/>
      <c r="G856" s="5"/>
      <c r="H856" s="5"/>
      <c r="I856" s="5"/>
      <c r="J856" s="5"/>
      <c r="K856" s="5"/>
      <c r="L856" s="5"/>
      <c r="M856" s="5"/>
    </row>
    <row r="857" spans="2:47" x14ac:dyDescent="0.3">
      <c r="B857" s="12" t="s">
        <v>834</v>
      </c>
      <c r="C857" s="6">
        <v>0</v>
      </c>
      <c r="D857" s="6"/>
      <c r="E857" s="5"/>
      <c r="F857" s="5"/>
      <c r="G857" s="5"/>
      <c r="H857" s="5"/>
      <c r="I857" s="5"/>
      <c r="J857" s="5"/>
      <c r="K857" s="5"/>
      <c r="L857" s="5"/>
      <c r="M857" s="5"/>
    </row>
    <row r="858" spans="2:47" x14ac:dyDescent="0.3">
      <c r="B858" s="12" t="s">
        <v>835</v>
      </c>
      <c r="C858" s="6">
        <v>0</v>
      </c>
      <c r="D858" s="6"/>
      <c r="E858" s="5"/>
      <c r="F858" s="5"/>
      <c r="G858" s="5"/>
      <c r="H858" s="5"/>
      <c r="I858" s="5"/>
      <c r="J858" s="5"/>
      <c r="K858" s="5"/>
      <c r="L858" s="5"/>
      <c r="M858" s="5"/>
    </row>
    <row r="859" spans="2:47" x14ac:dyDescent="0.3">
      <c r="B859" s="12" t="s">
        <v>836</v>
      </c>
      <c r="C859" s="6">
        <v>0</v>
      </c>
      <c r="D859" s="6"/>
      <c r="E859" s="5"/>
      <c r="F859" s="5"/>
      <c r="G859" s="5"/>
      <c r="H859" s="5"/>
      <c r="I859" s="5"/>
      <c r="J859" s="5"/>
      <c r="K859" s="5"/>
      <c r="L859" s="5"/>
      <c r="M859" s="5"/>
    </row>
    <row r="860" spans="2:47" x14ac:dyDescent="0.3">
      <c r="B860" s="12" t="s">
        <v>2501</v>
      </c>
      <c r="C860" s="6">
        <v>1.0269999999999999</v>
      </c>
      <c r="D860" s="6"/>
      <c r="E860" s="5"/>
      <c r="F860" s="5"/>
      <c r="G860" s="5"/>
      <c r="H860" s="5"/>
      <c r="I860" s="5"/>
      <c r="J860" s="5"/>
      <c r="K860" s="5"/>
      <c r="L860" s="5"/>
      <c r="M860" s="5"/>
    </row>
    <row r="861" spans="2:47" x14ac:dyDescent="0.3">
      <c r="B861" s="12" t="s">
        <v>2503</v>
      </c>
      <c r="C861" s="6">
        <v>0.6</v>
      </c>
      <c r="D861" s="6"/>
      <c r="E861" s="5"/>
      <c r="F861" s="5"/>
      <c r="G861" s="5"/>
      <c r="H861" s="5"/>
      <c r="I861" s="5"/>
      <c r="J861" s="5"/>
      <c r="K861" s="5"/>
      <c r="L861" s="5"/>
      <c r="M861" s="5"/>
    </row>
    <row r="862" spans="2:47" x14ac:dyDescent="0.3">
      <c r="B862" s="19"/>
      <c r="C862" s="5" t="s">
        <v>518</v>
      </c>
      <c r="D862" s="4"/>
      <c r="E862" s="5"/>
      <c r="F862" s="5"/>
      <c r="G862" s="5"/>
      <c r="H862" s="5"/>
      <c r="I862" s="5"/>
      <c r="J862" s="5"/>
      <c r="K862" s="5"/>
      <c r="L862" s="5"/>
      <c r="M862" s="5"/>
    </row>
    <row r="863" spans="2:47" x14ac:dyDescent="0.3">
      <c r="B863" s="66" t="s">
        <v>790</v>
      </c>
      <c r="C863" s="38" t="s">
        <v>1278</v>
      </c>
      <c r="D863" s="5"/>
      <c r="E863" s="5"/>
      <c r="F863" s="5"/>
      <c r="G863" s="5"/>
      <c r="H863" s="5"/>
      <c r="I863" s="5"/>
      <c r="J863" s="5"/>
      <c r="K863" s="5"/>
      <c r="L863" s="5"/>
      <c r="M863" s="5"/>
    </row>
    <row r="864" spans="2:47" x14ac:dyDescent="0.3">
      <c r="B864" s="12" t="s">
        <v>293</v>
      </c>
      <c r="C864" s="6" t="s">
        <v>2612</v>
      </c>
      <c r="D864" s="5"/>
      <c r="E864" s="5"/>
      <c r="F864" s="5"/>
      <c r="G864" s="5"/>
      <c r="H864" s="5"/>
      <c r="I864" s="5"/>
      <c r="J864" s="5"/>
      <c r="K864" s="5"/>
      <c r="L864" s="5"/>
      <c r="M864" s="5"/>
    </row>
    <row r="865" spans="1:56" x14ac:dyDescent="0.3">
      <c r="B865" s="12" t="s">
        <v>292</v>
      </c>
      <c r="C865" s="6" t="s">
        <v>2593</v>
      </c>
      <c r="D865" s="5"/>
      <c r="E865" s="5"/>
      <c r="F865" s="5"/>
      <c r="G865" s="5"/>
      <c r="H865" s="5"/>
      <c r="I865" s="5"/>
      <c r="J865" s="5"/>
      <c r="K865" s="5"/>
      <c r="L865" s="5"/>
      <c r="M865" s="5"/>
    </row>
    <row r="866" spans="1:56" x14ac:dyDescent="0.3">
      <c r="B866" s="12" t="s">
        <v>289</v>
      </c>
      <c r="C866" s="6" t="s">
        <v>2602</v>
      </c>
      <c r="D866" s="5"/>
      <c r="E866" s="5"/>
      <c r="F866" s="5"/>
      <c r="G866" s="5"/>
      <c r="H866" s="5"/>
      <c r="I866" s="5"/>
      <c r="J866" s="5"/>
      <c r="K866" s="5"/>
      <c r="L866" s="5"/>
      <c r="M866" s="5"/>
    </row>
    <row r="867" spans="1:56" x14ac:dyDescent="0.3">
      <c r="B867" s="12" t="s">
        <v>290</v>
      </c>
      <c r="C867" s="6" t="s">
        <v>2603</v>
      </c>
      <c r="D867" s="5"/>
      <c r="E867" s="5"/>
      <c r="F867" s="5"/>
      <c r="G867" s="5"/>
      <c r="H867" s="5"/>
      <c r="I867" s="5"/>
      <c r="J867" s="5"/>
      <c r="K867" s="5"/>
      <c r="L867" s="5"/>
      <c r="M867" s="5"/>
    </row>
    <row r="868" spans="1:56" x14ac:dyDescent="0.3">
      <c r="B868" s="12" t="s">
        <v>789</v>
      </c>
      <c r="C868" s="6" t="s">
        <v>2628</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1412</v>
      </c>
      <c r="B871" s="12" t="s">
        <v>209</v>
      </c>
      <c r="C871" s="6" t="s">
        <v>2605</v>
      </c>
      <c r="D871" s="6"/>
      <c r="E871" s="5"/>
      <c r="F871" s="5"/>
      <c r="G871" s="5"/>
      <c r="H871" s="5"/>
      <c r="I871" s="5"/>
      <c r="J871" s="5"/>
      <c r="K871" s="5"/>
      <c r="L871" s="5"/>
      <c r="M871" s="5"/>
    </row>
    <row r="872" spans="1:56" x14ac:dyDescent="0.3">
      <c r="B872" s="12" t="s">
        <v>1402</v>
      </c>
      <c r="C872" s="6" t="s">
        <v>2613</v>
      </c>
      <c r="D872" s="6"/>
      <c r="E872" s="5"/>
      <c r="F872" s="5"/>
      <c r="G872" s="5"/>
      <c r="H872" s="5"/>
      <c r="I872" s="5"/>
      <c r="J872" s="5"/>
      <c r="K872" s="5"/>
      <c r="L872" s="5"/>
      <c r="M872" s="5"/>
    </row>
    <row r="873" spans="1:56" x14ac:dyDescent="0.3">
      <c r="B873" s="12" t="s">
        <v>210</v>
      </c>
      <c r="C873" s="6" t="s">
        <v>1411</v>
      </c>
      <c r="D873" s="6"/>
      <c r="E873" s="5"/>
      <c r="F873" s="5"/>
      <c r="G873" s="5"/>
      <c r="H873" s="5"/>
      <c r="I873" s="5"/>
      <c r="J873" s="5"/>
      <c r="K873" s="5"/>
      <c r="L873" s="5"/>
      <c r="M873" s="5"/>
    </row>
    <row r="874" spans="1:56" x14ac:dyDescent="0.3">
      <c r="B874" s="12" t="s">
        <v>1984</v>
      </c>
      <c r="C874" s="6" t="s">
        <v>1409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2604</v>
      </c>
      <c r="D875" s="6"/>
      <c r="E875" s="5"/>
      <c r="F875" s="5"/>
      <c r="G875" s="5"/>
      <c r="H875" s="5"/>
      <c r="I875" s="5"/>
      <c r="J875" s="5"/>
      <c r="K875" s="5"/>
      <c r="L875" s="5"/>
      <c r="M875" s="5"/>
    </row>
    <row r="876" spans="1:56" x14ac:dyDescent="0.3">
      <c r="B876" s="12" t="s">
        <v>212</v>
      </c>
      <c r="C876" s="6" t="s">
        <v>1410</v>
      </c>
      <c r="D876" s="6"/>
      <c r="E876" s="5"/>
      <c r="F876" s="5"/>
      <c r="G876" s="5"/>
      <c r="H876" s="5"/>
      <c r="I876" s="5"/>
      <c r="J876" s="5"/>
      <c r="K876" s="5"/>
      <c r="L876" s="5"/>
      <c r="M876" s="5"/>
    </row>
    <row r="877" spans="1:56" x14ac:dyDescent="0.3">
      <c r="A877" s="28" t="s">
        <v>1413</v>
      </c>
      <c r="B877" s="12" t="s">
        <v>213</v>
      </c>
      <c r="C877" s="6" t="s">
        <v>2596</v>
      </c>
      <c r="D877" s="6"/>
      <c r="E877" s="5"/>
      <c r="F877" s="5"/>
      <c r="G877" s="5"/>
      <c r="H877" s="5"/>
      <c r="I877" s="5"/>
      <c r="J877" s="5"/>
      <c r="K877" s="5"/>
      <c r="L877" s="5"/>
      <c r="M877" s="5"/>
    </row>
    <row r="878" spans="1:56" x14ac:dyDescent="0.3">
      <c r="B878" s="12" t="s">
        <v>291</v>
      </c>
      <c r="C878" s="6" t="s">
        <v>1358</v>
      </c>
      <c r="D878" s="6"/>
      <c r="E878" s="5"/>
      <c r="F878" s="5"/>
      <c r="G878" s="5"/>
      <c r="H878" s="5"/>
      <c r="I878" s="5"/>
      <c r="J878" s="5"/>
      <c r="K878" s="5"/>
      <c r="L878" s="5"/>
      <c r="M878" s="5"/>
    </row>
    <row r="879" spans="1:56" x14ac:dyDescent="0.3">
      <c r="B879" s="12" t="s">
        <v>214</v>
      </c>
      <c r="C879" s="6" t="s">
        <v>1279</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1359</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2614</v>
      </c>
      <c r="D884" s="6" t="s">
        <v>2615</v>
      </c>
      <c r="E884" s="6" t="s">
        <v>2616</v>
      </c>
      <c r="F884" s="6" t="s">
        <v>2617</v>
      </c>
      <c r="G884" s="5"/>
      <c r="H884" s="5"/>
      <c r="I884" s="5"/>
      <c r="J884" s="5"/>
      <c r="K884" s="5"/>
      <c r="L884" s="5"/>
      <c r="M884" s="5"/>
    </row>
    <row r="885" spans="2:56" x14ac:dyDescent="0.3">
      <c r="B885" s="12" t="s">
        <v>227</v>
      </c>
      <c r="C885" s="6" t="s">
        <v>2618</v>
      </c>
      <c r="D885" s="6" t="s">
        <v>2619</v>
      </c>
      <c r="E885" s="5" t="s">
        <v>2620</v>
      </c>
      <c r="F885" s="5" t="s">
        <v>2621</v>
      </c>
      <c r="G885" s="5"/>
      <c r="H885" s="5"/>
      <c r="I885" s="5"/>
      <c r="J885" s="5"/>
      <c r="K885" s="5"/>
      <c r="L885" s="5"/>
      <c r="M885" s="5"/>
    </row>
    <row r="886" spans="2:56" x14ac:dyDescent="0.3">
      <c r="B886" s="12" t="s">
        <v>228</v>
      </c>
      <c r="C886" s="6" t="s">
        <v>2562</v>
      </c>
      <c r="D886" s="6" t="s">
        <v>2563</v>
      </c>
      <c r="E886" s="5" t="s">
        <v>2569</v>
      </c>
      <c r="F886" s="5" t="s">
        <v>2569</v>
      </c>
      <c r="G886" s="5"/>
      <c r="H886" s="5"/>
      <c r="I886" s="5"/>
      <c r="J886" s="5"/>
      <c r="K886" s="5"/>
      <c r="L886" s="5"/>
      <c r="M886" s="5"/>
    </row>
    <row r="887" spans="2:56" x14ac:dyDescent="0.3">
      <c r="B887" s="12" t="s">
        <v>229</v>
      </c>
      <c r="C887" s="6" t="s">
        <v>2622</v>
      </c>
      <c r="D887" s="6" t="s">
        <v>2594</v>
      </c>
      <c r="E887" s="5" t="s">
        <v>2595</v>
      </c>
      <c r="F887" s="5" t="s">
        <v>2595</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2" t="s">
        <v>581</v>
      </c>
      <c r="C888" s="6" t="s">
        <v>2623</v>
      </c>
      <c r="D888" s="6" t="s">
        <v>2591</v>
      </c>
      <c r="E888" s="6" t="s">
        <v>2592</v>
      </c>
      <c r="F888" s="6" t="s">
        <v>2592</v>
      </c>
      <c r="G888" s="6"/>
      <c r="H888" s="6"/>
      <c r="I888" s="6"/>
      <c r="J888" s="6"/>
      <c r="K888" s="6"/>
      <c r="L888" s="6"/>
      <c r="M888" s="6"/>
      <c r="N888" s="14"/>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2" t="s">
        <v>582</v>
      </c>
      <c r="C889" s="6" t="s">
        <v>2624</v>
      </c>
      <c r="D889" s="6" t="s">
        <v>2576</v>
      </c>
      <c r="E889" s="5" t="s">
        <v>2570</v>
      </c>
      <c r="F889" s="5" t="s">
        <v>2570</v>
      </c>
      <c r="G889" s="5"/>
      <c r="H889" s="5"/>
      <c r="I889" s="5"/>
      <c r="J889" s="5"/>
      <c r="K889" s="5"/>
      <c r="L889" s="5"/>
      <c r="M889" s="5"/>
    </row>
    <row r="890" spans="2:56" x14ac:dyDescent="0.3">
      <c r="B890" s="12" t="s">
        <v>583</v>
      </c>
      <c r="C890" s="6" t="s">
        <v>2577</v>
      </c>
      <c r="D890" s="6" t="s">
        <v>2564</v>
      </c>
      <c r="E890" s="5" t="s">
        <v>2571</v>
      </c>
      <c r="F890" s="5" t="s">
        <v>2571</v>
      </c>
      <c r="G890" s="5"/>
      <c r="H890" s="5"/>
      <c r="I890" s="5"/>
      <c r="J890" s="5"/>
      <c r="K890" s="5"/>
      <c r="L890" s="5"/>
      <c r="M890" s="5"/>
    </row>
    <row r="891" spans="2:56" x14ac:dyDescent="0.3">
      <c r="B891" s="12" t="s">
        <v>584</v>
      </c>
      <c r="C891" s="6" t="s">
        <v>2588</v>
      </c>
      <c r="D891" s="6" t="s">
        <v>2565</v>
      </c>
      <c r="E891" s="5" t="s">
        <v>2572</v>
      </c>
      <c r="F891" s="5" t="s">
        <v>2572</v>
      </c>
      <c r="G891" s="5"/>
      <c r="H891" s="5"/>
      <c r="I891" s="5"/>
      <c r="J891" s="5"/>
      <c r="K891" s="5"/>
      <c r="L891" s="5"/>
      <c r="M891" s="5"/>
    </row>
    <row r="892" spans="2:56" x14ac:dyDescent="0.3">
      <c r="B892" s="12" t="s">
        <v>585</v>
      </c>
      <c r="C892" s="6" t="s">
        <v>2589</v>
      </c>
      <c r="D892" s="6" t="s">
        <v>2566</v>
      </c>
      <c r="E892" s="5" t="s">
        <v>2573</v>
      </c>
      <c r="F892" s="5" t="s">
        <v>2573</v>
      </c>
      <c r="G892" s="5"/>
      <c r="H892" s="5"/>
      <c r="I892" s="5"/>
      <c r="J892" s="5"/>
      <c r="K892" s="5"/>
      <c r="L892" s="5"/>
      <c r="M892" s="5"/>
    </row>
    <row r="893" spans="2:56" x14ac:dyDescent="0.3">
      <c r="B893" s="12" t="s">
        <v>586</v>
      </c>
      <c r="C893" s="6" t="s">
        <v>2590</v>
      </c>
      <c r="D893" s="6" t="s">
        <v>2567</v>
      </c>
      <c r="E893" s="5" t="s">
        <v>2574</v>
      </c>
      <c r="F893" s="5" t="s">
        <v>2574</v>
      </c>
      <c r="G893" s="5"/>
      <c r="H893" s="5"/>
      <c r="I893" s="5"/>
      <c r="J893" s="5"/>
      <c r="K893" s="5"/>
      <c r="L893" s="5"/>
      <c r="M893" s="5"/>
    </row>
    <row r="894" spans="2:56" x14ac:dyDescent="0.3">
      <c r="B894" s="12" t="s">
        <v>587</v>
      </c>
      <c r="C894" s="6" t="s">
        <v>1978</v>
      </c>
      <c r="D894" s="6" t="s">
        <v>2568</v>
      </c>
      <c r="E894" s="5" t="s">
        <v>2575</v>
      </c>
      <c r="F894" s="5" t="s">
        <v>2575</v>
      </c>
      <c r="G894" s="5"/>
      <c r="H894" s="5"/>
      <c r="I894" s="5"/>
      <c r="J894" s="5"/>
      <c r="K894" s="5"/>
      <c r="L894" s="5"/>
      <c r="M894" s="5"/>
    </row>
    <row r="895" spans="2:56" x14ac:dyDescent="0.3">
      <c r="B895" s="12" t="s">
        <v>588</v>
      </c>
      <c r="C895" s="6" t="s">
        <v>1979</v>
      </c>
      <c r="D895" s="6" t="s">
        <v>2578</v>
      </c>
      <c r="E895" s="5" t="s">
        <v>2583</v>
      </c>
      <c r="F895" s="5" t="s">
        <v>2583</v>
      </c>
      <c r="G895" s="5"/>
      <c r="H895" s="5"/>
      <c r="I895" s="5"/>
      <c r="J895" s="5"/>
      <c r="K895" s="5"/>
      <c r="L895" s="5"/>
      <c r="M895" s="5"/>
    </row>
    <row r="896" spans="2:56" x14ac:dyDescent="0.3">
      <c r="B896" s="12" t="s">
        <v>589</v>
      </c>
      <c r="C896" s="6" t="s">
        <v>1980</v>
      </c>
      <c r="D896" s="6" t="s">
        <v>2579</v>
      </c>
      <c r="E896" s="5" t="s">
        <v>2584</v>
      </c>
      <c r="F896" s="5" t="s">
        <v>2584</v>
      </c>
      <c r="G896" s="5"/>
      <c r="H896" s="5"/>
      <c r="I896" s="5"/>
      <c r="J896" s="5"/>
      <c r="K896" s="5"/>
      <c r="L896" s="5"/>
      <c r="M896" s="5"/>
    </row>
    <row r="897" spans="2:14" x14ac:dyDescent="0.3">
      <c r="B897" s="12" t="s">
        <v>590</v>
      </c>
      <c r="C897" s="6" t="s">
        <v>1981</v>
      </c>
      <c r="D897" s="6" t="s">
        <v>2580</v>
      </c>
      <c r="E897" s="5" t="s">
        <v>2585</v>
      </c>
      <c r="F897" s="5" t="s">
        <v>2585</v>
      </c>
      <c r="G897" s="5"/>
      <c r="H897" s="5"/>
      <c r="I897" s="5"/>
      <c r="J897" s="5"/>
      <c r="K897" s="5"/>
      <c r="L897" s="5"/>
      <c r="M897" s="5"/>
    </row>
    <row r="898" spans="2:14" x14ac:dyDescent="0.3">
      <c r="B898" s="12" t="s">
        <v>1403</v>
      </c>
      <c r="C898" s="6" t="s">
        <v>1982</v>
      </c>
      <c r="D898" s="6" t="s">
        <v>2581</v>
      </c>
      <c r="E898" s="5" t="s">
        <v>2586</v>
      </c>
      <c r="F898" s="5" t="s">
        <v>2586</v>
      </c>
      <c r="G898" s="5"/>
      <c r="H898" s="5"/>
      <c r="I898" s="5"/>
      <c r="J898" s="5"/>
      <c r="K898" s="5"/>
      <c r="L898" s="5"/>
      <c r="M898" s="5"/>
    </row>
    <row r="899" spans="2:14" x14ac:dyDescent="0.3">
      <c r="B899" s="12" t="s">
        <v>591</v>
      </c>
      <c r="C899" s="6" t="s">
        <v>1983</v>
      </c>
      <c r="D899" s="6" t="s">
        <v>2582</v>
      </c>
      <c r="E899" s="5" t="s">
        <v>2587</v>
      </c>
      <c r="F899" s="5" t="s">
        <v>2587</v>
      </c>
      <c r="G899" s="5"/>
      <c r="H899" s="5"/>
      <c r="I899" s="5"/>
      <c r="J899" s="5"/>
      <c r="K899" s="5"/>
      <c r="L899" s="5"/>
      <c r="M899" s="5"/>
    </row>
    <row r="900" spans="2:14" x14ac:dyDescent="0.3">
      <c r="B900" s="31" t="s">
        <v>667</v>
      </c>
      <c r="C900" s="8"/>
      <c r="D900" s="8"/>
      <c r="E900" s="8"/>
      <c r="F900" s="8"/>
      <c r="G900" s="8"/>
      <c r="H900" s="8"/>
      <c r="I900" s="8"/>
      <c r="J900" s="8"/>
      <c r="K900" s="8"/>
      <c r="L900" s="8"/>
      <c r="M900" s="8"/>
    </row>
    <row r="901" spans="2:14" x14ac:dyDescent="0.3">
      <c r="B901" s="12"/>
      <c r="C901" s="8"/>
      <c r="D901" s="8"/>
      <c r="E901" s="8"/>
      <c r="F901" s="8"/>
      <c r="G901" s="8"/>
      <c r="H901" s="8"/>
      <c r="I901" s="8"/>
      <c r="J901" s="8"/>
      <c r="K901" s="8"/>
      <c r="L901" s="8"/>
      <c r="M901" s="8"/>
    </row>
    <row r="902" spans="2:14" x14ac:dyDescent="0.3">
      <c r="B902" s="12"/>
      <c r="C902" s="8"/>
      <c r="D902" s="8"/>
      <c r="E902" s="8"/>
      <c r="F902" s="8"/>
      <c r="G902" s="8"/>
      <c r="H902" s="8"/>
      <c r="I902" s="8"/>
      <c r="J902" s="8"/>
      <c r="K902" s="8"/>
      <c r="L902" s="8"/>
      <c r="M902" s="8"/>
    </row>
    <row r="903" spans="2:14" x14ac:dyDescent="0.3">
      <c r="B903" s="12"/>
      <c r="C903" s="8"/>
      <c r="D903" s="8"/>
      <c r="E903" s="8"/>
      <c r="F903" s="8"/>
      <c r="G903" s="8"/>
      <c r="H903" s="8"/>
      <c r="I903" s="8"/>
      <c r="J903" s="8"/>
      <c r="K903" s="8"/>
      <c r="L903" s="8"/>
      <c r="M903" s="8"/>
      <c r="N903" s="10"/>
    </row>
    <row r="904" spans="2:14" x14ac:dyDescent="0.3">
      <c r="B904" s="12"/>
      <c r="C904" s="8"/>
      <c r="D904" s="8"/>
      <c r="E904" s="8"/>
      <c r="F904" s="8"/>
      <c r="G904" s="8"/>
      <c r="H904" s="8"/>
      <c r="I904" s="8"/>
      <c r="J904" s="8"/>
      <c r="K904" s="8"/>
      <c r="L904" s="8"/>
      <c r="M904" s="8"/>
    </row>
    <row r="905" spans="2:14" x14ac:dyDescent="0.3">
      <c r="B905" s="12"/>
      <c r="C905" s="8"/>
      <c r="D905" s="8"/>
      <c r="E905" s="8"/>
      <c r="F905" s="8"/>
      <c r="G905" s="8"/>
      <c r="H905" s="8"/>
      <c r="I905" s="8"/>
      <c r="J905" s="8"/>
      <c r="K905" s="8"/>
      <c r="L905" s="8"/>
      <c r="M905" s="8"/>
    </row>
    <row r="906" spans="2:14" x14ac:dyDescent="0.3">
      <c r="B906" s="12"/>
      <c r="C906" s="8"/>
      <c r="D906" s="8"/>
      <c r="E906" s="8"/>
      <c r="F906" s="8"/>
      <c r="G906" s="8"/>
      <c r="H906" s="8"/>
      <c r="I906" s="8"/>
      <c r="J906" s="8"/>
      <c r="K906" s="8"/>
      <c r="L906" s="8"/>
      <c r="M906" s="8"/>
    </row>
    <row r="907" spans="2:14" x14ac:dyDescent="0.3">
      <c r="B907" s="12"/>
      <c r="C907" s="8"/>
      <c r="D907" s="8"/>
      <c r="E907" s="8"/>
      <c r="F907" s="8"/>
      <c r="G907" s="8"/>
      <c r="H907" s="8"/>
      <c r="I907" s="8"/>
      <c r="J907" s="8"/>
      <c r="K907" s="8"/>
      <c r="L907" s="8"/>
      <c r="M907" s="8"/>
    </row>
    <row r="908" spans="2:14" x14ac:dyDescent="0.3">
      <c r="B908" s="12"/>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1763</v>
      </c>
      <c r="C1" t="s">
        <v>362</v>
      </c>
      <c r="H1" s="3" t="s">
        <v>363</v>
      </c>
      <c r="I1" t="s">
        <v>1966</v>
      </c>
    </row>
    <row r="2" spans="1:33" x14ac:dyDescent="0.3">
      <c r="B2" s="19" t="s">
        <v>791</v>
      </c>
      <c r="C2" s="9" t="s">
        <v>53</v>
      </c>
      <c r="D2" s="6" t="s">
        <v>794</v>
      </c>
      <c r="H2">
        <v>1</v>
      </c>
      <c r="I2" t="s">
        <v>384</v>
      </c>
      <c r="AD2" t="s">
        <v>1934</v>
      </c>
      <c r="AF2" t="s">
        <v>1935</v>
      </c>
    </row>
    <row r="3" spans="1:33" x14ac:dyDescent="0.3">
      <c r="B3" s="19"/>
      <c r="C3" s="9" t="s">
        <v>54</v>
      </c>
      <c r="D3" s="6" t="s">
        <v>796</v>
      </c>
      <c r="H3">
        <v>2</v>
      </c>
      <c r="I3" t="s">
        <v>1968</v>
      </c>
      <c r="S3" t="s">
        <v>1760</v>
      </c>
      <c r="AC3">
        <v>1</v>
      </c>
      <c r="AD3" t="s">
        <v>1861</v>
      </c>
      <c r="AF3" s="6" t="s">
        <v>1193</v>
      </c>
      <c r="AG3">
        <v>1</v>
      </c>
    </row>
    <row r="4" spans="1:33" x14ac:dyDescent="0.3">
      <c r="B4" s="19"/>
      <c r="C4" s="9" t="s">
        <v>55</v>
      </c>
      <c r="D4" s="6" t="s">
        <v>798</v>
      </c>
      <c r="H4">
        <v>3</v>
      </c>
      <c r="I4" t="s">
        <v>1967</v>
      </c>
      <c r="S4" t="s">
        <v>1761</v>
      </c>
      <c r="AC4">
        <v>2</v>
      </c>
      <c r="AD4" t="s">
        <v>1862</v>
      </c>
      <c r="AF4" s="6" t="s">
        <v>1194</v>
      </c>
      <c r="AG4">
        <v>2</v>
      </c>
    </row>
    <row r="5" spans="1:33" x14ac:dyDescent="0.3">
      <c r="B5" s="19"/>
      <c r="C5" s="9" t="s">
        <v>56</v>
      </c>
      <c r="D5" s="6" t="s">
        <v>799</v>
      </c>
      <c r="H5">
        <v>4</v>
      </c>
      <c r="I5" t="s">
        <v>1723</v>
      </c>
      <c r="S5" t="s">
        <v>1762</v>
      </c>
      <c r="AC5">
        <v>3</v>
      </c>
      <c r="AD5" t="s">
        <v>1863</v>
      </c>
      <c r="AF5" s="6" t="s">
        <v>1195</v>
      </c>
      <c r="AG5">
        <v>3</v>
      </c>
    </row>
    <row r="6" spans="1:33" x14ac:dyDescent="0.3">
      <c r="B6" s="19"/>
      <c r="C6" s="9" t="s">
        <v>59</v>
      </c>
      <c r="D6" s="6" t="s">
        <v>800</v>
      </c>
      <c r="H6">
        <v>5</v>
      </c>
      <c r="I6" t="s">
        <v>1724</v>
      </c>
      <c r="AC6">
        <v>4</v>
      </c>
      <c r="AD6" t="s">
        <v>1864</v>
      </c>
      <c r="AF6" s="6" t="s">
        <v>1196</v>
      </c>
      <c r="AG6">
        <v>4</v>
      </c>
    </row>
    <row r="7" spans="1:33" x14ac:dyDescent="0.3">
      <c r="B7" s="19"/>
      <c r="C7" s="9" t="s">
        <v>1734</v>
      </c>
      <c r="D7" s="6" t="s">
        <v>800</v>
      </c>
      <c r="H7">
        <v>6</v>
      </c>
      <c r="I7" t="s">
        <v>1725</v>
      </c>
      <c r="AC7">
        <v>5</v>
      </c>
      <c r="AD7" t="s">
        <v>1865</v>
      </c>
      <c r="AF7" s="6" t="s">
        <v>1197</v>
      </c>
      <c r="AG7">
        <v>5</v>
      </c>
    </row>
    <row r="8" spans="1:33" x14ac:dyDescent="0.3">
      <c r="B8" s="19" t="s">
        <v>791</v>
      </c>
      <c r="C8" s="9" t="s">
        <v>1735</v>
      </c>
      <c r="D8" s="6" t="s">
        <v>795</v>
      </c>
      <c r="H8">
        <v>7</v>
      </c>
      <c r="I8" t="s">
        <v>1726</v>
      </c>
      <c r="AC8">
        <v>6</v>
      </c>
      <c r="AD8" t="s">
        <v>1866</v>
      </c>
      <c r="AF8" s="6" t="s">
        <v>1198</v>
      </c>
      <c r="AG8">
        <v>6</v>
      </c>
    </row>
    <row r="9" spans="1:33" x14ac:dyDescent="0.3">
      <c r="B9" s="19" t="s">
        <v>791</v>
      </c>
      <c r="C9" s="9" t="s">
        <v>1736</v>
      </c>
      <c r="D9" s="6" t="s">
        <v>797</v>
      </c>
      <c r="H9">
        <v>8</v>
      </c>
      <c r="I9" t="s">
        <v>1727</v>
      </c>
      <c r="AC9">
        <v>7</v>
      </c>
      <c r="AD9" t="s">
        <v>1867</v>
      </c>
      <c r="AF9" s="6" t="s">
        <v>1199</v>
      </c>
      <c r="AG9">
        <v>7</v>
      </c>
    </row>
    <row r="10" spans="1:33" x14ac:dyDescent="0.3">
      <c r="B10" s="19" t="s">
        <v>791</v>
      </c>
      <c r="C10" s="5" t="s">
        <v>1737</v>
      </c>
      <c r="D10" s="1" t="s">
        <v>1738</v>
      </c>
      <c r="H10">
        <v>9</v>
      </c>
      <c r="I10" t="s">
        <v>1728</v>
      </c>
      <c r="AC10">
        <v>8</v>
      </c>
      <c r="AD10" t="s">
        <v>1868</v>
      </c>
      <c r="AF10" s="6" t="s">
        <v>1200</v>
      </c>
      <c r="AG10">
        <v>8</v>
      </c>
    </row>
    <row r="11" spans="1:33" x14ac:dyDescent="0.3">
      <c r="B11" s="19" t="s">
        <v>791</v>
      </c>
      <c r="C11" s="5" t="s">
        <v>1739</v>
      </c>
      <c r="D11" s="1" t="s">
        <v>1740</v>
      </c>
      <c r="H11">
        <v>10</v>
      </c>
      <c r="I11" t="s">
        <v>1729</v>
      </c>
      <c r="AC11">
        <v>9</v>
      </c>
      <c r="AD11" t="s">
        <v>1869</v>
      </c>
      <c r="AF11" s="37" t="s">
        <v>1201</v>
      </c>
      <c r="AG11">
        <v>9</v>
      </c>
    </row>
    <row r="12" spans="1:33" x14ac:dyDescent="0.3">
      <c r="B12" s="19" t="s">
        <v>791</v>
      </c>
      <c r="C12" s="5" t="s">
        <v>1712</v>
      </c>
      <c r="D12" s="1" t="s">
        <v>1741</v>
      </c>
      <c r="H12">
        <v>11</v>
      </c>
      <c r="I12" t="s">
        <v>1730</v>
      </c>
      <c r="AC12">
        <v>10</v>
      </c>
      <c r="AD12" t="s">
        <v>1870</v>
      </c>
      <c r="AF12" s="6" t="s">
        <v>1202</v>
      </c>
      <c r="AG12">
        <v>10</v>
      </c>
    </row>
    <row r="13" spans="1:33" x14ac:dyDescent="0.3">
      <c r="B13" s="19" t="s">
        <v>791</v>
      </c>
      <c r="C13" s="5" t="s">
        <v>1713</v>
      </c>
      <c r="D13" s="1" t="s">
        <v>1742</v>
      </c>
      <c r="H13">
        <v>12</v>
      </c>
      <c r="I13" t="s">
        <v>1731</v>
      </c>
      <c r="AC13">
        <v>11</v>
      </c>
      <c r="AD13" t="s">
        <v>1871</v>
      </c>
      <c r="AF13" s="6" t="s">
        <v>1203</v>
      </c>
      <c r="AG13">
        <v>11</v>
      </c>
    </row>
    <row r="14" spans="1:33" x14ac:dyDescent="0.3">
      <c r="B14" s="19" t="s">
        <v>791</v>
      </c>
      <c r="C14" s="5" t="s">
        <v>1743</v>
      </c>
      <c r="D14" s="1" t="s">
        <v>1744</v>
      </c>
      <c r="H14">
        <v>13</v>
      </c>
      <c r="I14" t="s">
        <v>1732</v>
      </c>
      <c r="AC14">
        <v>12</v>
      </c>
      <c r="AD14" t="s">
        <v>1872</v>
      </c>
      <c r="AF14" s="6" t="s">
        <v>1204</v>
      </c>
      <c r="AG14">
        <v>12</v>
      </c>
    </row>
    <row r="15" spans="1:33" x14ac:dyDescent="0.3">
      <c r="B15" s="19" t="s">
        <v>791</v>
      </c>
      <c r="C15" s="5" t="s">
        <v>1745</v>
      </c>
      <c r="D15" s="1" t="s">
        <v>1746</v>
      </c>
      <c r="H15">
        <v>14</v>
      </c>
      <c r="I15" t="s">
        <v>1733</v>
      </c>
      <c r="AC15">
        <v>13</v>
      </c>
      <c r="AD15" t="s">
        <v>1873</v>
      </c>
      <c r="AF15" s="6" t="s">
        <v>1205</v>
      </c>
      <c r="AG15">
        <v>13</v>
      </c>
    </row>
    <row r="16" spans="1:33" x14ac:dyDescent="0.3">
      <c r="B16" s="19" t="s">
        <v>791</v>
      </c>
      <c r="C16" s="5" t="s">
        <v>1747</v>
      </c>
      <c r="D16" s="1" t="s">
        <v>1748</v>
      </c>
      <c r="H16">
        <v>15</v>
      </c>
      <c r="I16" t="s">
        <v>385</v>
      </c>
      <c r="AC16">
        <v>14</v>
      </c>
      <c r="AD16" t="s">
        <v>1874</v>
      </c>
      <c r="AF16" s="6" t="s">
        <v>1206</v>
      </c>
      <c r="AG16">
        <v>14</v>
      </c>
    </row>
    <row r="17" spans="2:33" x14ac:dyDescent="0.3">
      <c r="B17" s="19" t="s">
        <v>791</v>
      </c>
      <c r="C17" s="5" t="s">
        <v>1749</v>
      </c>
      <c r="D17" s="1" t="s">
        <v>1750</v>
      </c>
      <c r="H17">
        <v>16</v>
      </c>
      <c r="I17" t="s">
        <v>386</v>
      </c>
      <c r="AC17">
        <v>15</v>
      </c>
      <c r="AD17" t="s">
        <v>1875</v>
      </c>
      <c r="AF17" s="6" t="s">
        <v>1207</v>
      </c>
      <c r="AG17">
        <v>15</v>
      </c>
    </row>
    <row r="18" spans="2:33" x14ac:dyDescent="0.3">
      <c r="B18" s="19" t="s">
        <v>791</v>
      </c>
      <c r="C18" s="5" t="s">
        <v>1751</v>
      </c>
      <c r="D18" s="1" t="s">
        <v>1752</v>
      </c>
      <c r="H18">
        <v>17</v>
      </c>
      <c r="I18" t="s">
        <v>387</v>
      </c>
      <c r="AC18">
        <v>16</v>
      </c>
      <c r="AD18" t="s">
        <v>1876</v>
      </c>
      <c r="AF18" s="6" t="s">
        <v>1208</v>
      </c>
      <c r="AG18">
        <v>16</v>
      </c>
    </row>
    <row r="19" spans="2:33" x14ac:dyDescent="0.3">
      <c r="B19" s="19" t="s">
        <v>791</v>
      </c>
      <c r="C19" s="9" t="s">
        <v>60</v>
      </c>
      <c r="D19" s="6" t="s">
        <v>801</v>
      </c>
      <c r="H19">
        <v>18</v>
      </c>
      <c r="I19" t="s">
        <v>364</v>
      </c>
      <c r="AC19">
        <v>17</v>
      </c>
      <c r="AD19" t="s">
        <v>1877</v>
      </c>
      <c r="AF19" s="6" t="s">
        <v>1209</v>
      </c>
      <c r="AG19">
        <v>17</v>
      </c>
    </row>
    <row r="20" spans="2:33" x14ac:dyDescent="0.3">
      <c r="B20" s="19" t="s">
        <v>791</v>
      </c>
      <c r="C20" s="9" t="s">
        <v>61</v>
      </c>
      <c r="D20" s="6" t="s">
        <v>802</v>
      </c>
      <c r="H20">
        <v>19</v>
      </c>
      <c r="I20" t="s">
        <v>365</v>
      </c>
      <c r="AC20">
        <v>18</v>
      </c>
      <c r="AD20" t="s">
        <v>1878</v>
      </c>
      <c r="AF20" s="6" t="s">
        <v>1210</v>
      </c>
      <c r="AG20">
        <v>18</v>
      </c>
    </row>
    <row r="21" spans="2:33" x14ac:dyDescent="0.3">
      <c r="B21" s="19" t="s">
        <v>791</v>
      </c>
      <c r="C21" s="9" t="s">
        <v>62</v>
      </c>
      <c r="D21" s="6" t="s">
        <v>803</v>
      </c>
      <c r="H21">
        <v>20</v>
      </c>
      <c r="I21" t="s">
        <v>366</v>
      </c>
      <c r="AC21">
        <v>19</v>
      </c>
      <c r="AD21" t="s">
        <v>1879</v>
      </c>
      <c r="AF21" s="6" t="s">
        <v>1211</v>
      </c>
      <c r="AG21">
        <v>19</v>
      </c>
    </row>
    <row r="22" spans="2:33" x14ac:dyDescent="0.3">
      <c r="B22" s="19" t="s">
        <v>791</v>
      </c>
      <c r="C22" s="9" t="s">
        <v>63</v>
      </c>
      <c r="D22" s="6" t="s">
        <v>804</v>
      </c>
      <c r="H22">
        <v>21</v>
      </c>
      <c r="I22" t="s">
        <v>367</v>
      </c>
      <c r="AC22">
        <v>20</v>
      </c>
      <c r="AD22" t="s">
        <v>1880</v>
      </c>
      <c r="AF22" s="6" t="s">
        <v>1212</v>
      </c>
      <c r="AG22">
        <v>20</v>
      </c>
    </row>
    <row r="23" spans="2:33" x14ac:dyDescent="0.3">
      <c r="B23" s="19" t="s">
        <v>791</v>
      </c>
      <c r="C23" s="9" t="s">
        <v>64</v>
      </c>
      <c r="D23" s="6" t="s">
        <v>805</v>
      </c>
      <c r="H23">
        <v>22</v>
      </c>
      <c r="I23" t="s">
        <v>368</v>
      </c>
      <c r="AC23">
        <v>21</v>
      </c>
      <c r="AD23" t="s">
        <v>1881</v>
      </c>
      <c r="AF23" s="6" t="s">
        <v>1213</v>
      </c>
      <c r="AG23">
        <v>21</v>
      </c>
    </row>
    <row r="24" spans="2:33" x14ac:dyDescent="0.3">
      <c r="B24" s="19" t="s">
        <v>791</v>
      </c>
      <c r="C24" s="9" t="s">
        <v>65</v>
      </c>
      <c r="D24" s="6" t="s">
        <v>806</v>
      </c>
      <c r="H24">
        <v>23</v>
      </c>
      <c r="I24" t="s">
        <v>369</v>
      </c>
      <c r="AC24">
        <v>22</v>
      </c>
      <c r="AD24" t="s">
        <v>1882</v>
      </c>
      <c r="AF24" s="6" t="s">
        <v>1214</v>
      </c>
      <c r="AG24">
        <v>22</v>
      </c>
    </row>
    <row r="25" spans="2:33" x14ac:dyDescent="0.3">
      <c r="B25" s="19" t="s">
        <v>791</v>
      </c>
      <c r="C25" s="9" t="s">
        <v>66</v>
      </c>
      <c r="D25" s="6" t="s">
        <v>807</v>
      </c>
      <c r="H25">
        <v>24</v>
      </c>
      <c r="I25" t="s">
        <v>388</v>
      </c>
      <c r="AC25">
        <v>23</v>
      </c>
      <c r="AD25" t="s">
        <v>1883</v>
      </c>
      <c r="AF25" s="6" t="s">
        <v>1215</v>
      </c>
      <c r="AG25">
        <v>23</v>
      </c>
    </row>
    <row r="26" spans="2:33" x14ac:dyDescent="0.3">
      <c r="B26" s="19" t="s">
        <v>791</v>
      </c>
      <c r="C26" s="9" t="s">
        <v>67</v>
      </c>
      <c r="D26" s="6" t="s">
        <v>808</v>
      </c>
      <c r="H26">
        <v>25</v>
      </c>
      <c r="I26" t="s">
        <v>370</v>
      </c>
      <c r="AC26">
        <v>24</v>
      </c>
      <c r="AD26" t="s">
        <v>1884</v>
      </c>
      <c r="AF26" s="6" t="s">
        <v>1216</v>
      </c>
      <c r="AG26">
        <v>24</v>
      </c>
    </row>
    <row r="27" spans="2:33" x14ac:dyDescent="0.3">
      <c r="B27" s="19" t="s">
        <v>791</v>
      </c>
      <c r="C27" s="9" t="s">
        <v>68</v>
      </c>
      <c r="D27" s="6" t="s">
        <v>809</v>
      </c>
      <c r="H27">
        <v>26</v>
      </c>
      <c r="I27" t="s">
        <v>371</v>
      </c>
      <c r="AC27">
        <v>25</v>
      </c>
      <c r="AD27" t="s">
        <v>1885</v>
      </c>
      <c r="AF27" s="6" t="s">
        <v>1217</v>
      </c>
      <c r="AG27">
        <v>25</v>
      </c>
    </row>
    <row r="28" spans="2:33" x14ac:dyDescent="0.3">
      <c r="B28" s="19"/>
      <c r="C28" s="9" t="s">
        <v>69</v>
      </c>
      <c r="D28" s="6" t="s">
        <v>810</v>
      </c>
      <c r="H28">
        <v>27</v>
      </c>
      <c r="I28" t="s">
        <v>372</v>
      </c>
      <c r="AC28">
        <v>26</v>
      </c>
      <c r="AD28" t="s">
        <v>1886</v>
      </c>
      <c r="AF28" s="6" t="s">
        <v>1218</v>
      </c>
      <c r="AG28">
        <v>26</v>
      </c>
    </row>
    <row r="29" spans="2:33" x14ac:dyDescent="0.3">
      <c r="B29" s="19"/>
      <c r="C29" s="9" t="s">
        <v>70</v>
      </c>
      <c r="D29" s="6" t="s">
        <v>811</v>
      </c>
      <c r="H29">
        <v>28</v>
      </c>
      <c r="I29" t="s">
        <v>373</v>
      </c>
      <c r="AC29">
        <v>27</v>
      </c>
      <c r="AD29" t="s">
        <v>1887</v>
      </c>
      <c r="AF29" s="6" t="s">
        <v>1685</v>
      </c>
      <c r="AG29">
        <v>27</v>
      </c>
    </row>
    <row r="30" spans="2:33" x14ac:dyDescent="0.3">
      <c r="B30" s="19"/>
      <c r="C30" s="9" t="s">
        <v>79</v>
      </c>
      <c r="D30" s="6" t="s">
        <v>830</v>
      </c>
      <c r="H30">
        <v>29</v>
      </c>
      <c r="I30" t="s">
        <v>374</v>
      </c>
      <c r="AC30">
        <v>28</v>
      </c>
      <c r="AD30" t="s">
        <v>1888</v>
      </c>
      <c r="AF30" s="6" t="s">
        <v>1219</v>
      </c>
      <c r="AG30">
        <v>28</v>
      </c>
    </row>
    <row r="31" spans="2:33" x14ac:dyDescent="0.3">
      <c r="B31" s="19"/>
      <c r="C31" s="9" t="s">
        <v>80</v>
      </c>
      <c r="D31" s="6" t="s">
        <v>829</v>
      </c>
      <c r="H31">
        <v>30</v>
      </c>
      <c r="I31" t="s">
        <v>389</v>
      </c>
      <c r="AC31">
        <v>29</v>
      </c>
      <c r="AD31" t="s">
        <v>1889</v>
      </c>
      <c r="AF31" s="6" t="s">
        <v>1220</v>
      </c>
      <c r="AG31">
        <v>29</v>
      </c>
    </row>
    <row r="32" spans="2:33" x14ac:dyDescent="0.3">
      <c r="B32" s="19"/>
      <c r="C32" s="9" t="s">
        <v>81</v>
      </c>
      <c r="D32" s="6" t="s">
        <v>828</v>
      </c>
      <c r="H32">
        <v>31</v>
      </c>
      <c r="I32" t="s">
        <v>375</v>
      </c>
      <c r="AC32">
        <v>30</v>
      </c>
      <c r="AD32" t="s">
        <v>1890</v>
      </c>
      <c r="AF32" s="6" t="s">
        <v>1221</v>
      </c>
      <c r="AG32">
        <v>30</v>
      </c>
    </row>
    <row r="33" spans="2:33" x14ac:dyDescent="0.3">
      <c r="B33" s="19"/>
      <c r="C33" s="9" t="s">
        <v>82</v>
      </c>
      <c r="D33" s="6" t="s">
        <v>827</v>
      </c>
      <c r="H33">
        <v>32</v>
      </c>
      <c r="I33" t="s">
        <v>376</v>
      </c>
      <c r="AC33">
        <v>31</v>
      </c>
      <c r="AD33" t="s">
        <v>1891</v>
      </c>
      <c r="AF33" s="6" t="s">
        <v>1222</v>
      </c>
      <c r="AG33">
        <v>31</v>
      </c>
    </row>
    <row r="34" spans="2:33" x14ac:dyDescent="0.3">
      <c r="B34" s="19"/>
      <c r="C34" s="9" t="s">
        <v>83</v>
      </c>
      <c r="D34" s="6" t="s">
        <v>812</v>
      </c>
      <c r="H34">
        <v>33</v>
      </c>
      <c r="I34" t="s">
        <v>377</v>
      </c>
      <c r="AC34">
        <v>32</v>
      </c>
      <c r="AD34" t="s">
        <v>1892</v>
      </c>
      <c r="AF34" s="6" t="s">
        <v>1223</v>
      </c>
      <c r="AG34">
        <v>32</v>
      </c>
    </row>
    <row r="35" spans="2:33" x14ac:dyDescent="0.3">
      <c r="B35" s="19"/>
      <c r="C35" s="9" t="s">
        <v>84</v>
      </c>
      <c r="D35" s="6" t="s">
        <v>813</v>
      </c>
      <c r="H35">
        <v>34</v>
      </c>
      <c r="I35" t="s">
        <v>378</v>
      </c>
      <c r="AC35">
        <v>33</v>
      </c>
      <c r="AD35" t="s">
        <v>1893</v>
      </c>
      <c r="AF35" s="6" t="s">
        <v>1224</v>
      </c>
      <c r="AG35">
        <v>33</v>
      </c>
    </row>
    <row r="36" spans="2:33" x14ac:dyDescent="0.3">
      <c r="B36" s="19"/>
      <c r="C36" s="9" t="s">
        <v>85</v>
      </c>
      <c r="D36" s="6" t="s">
        <v>814</v>
      </c>
      <c r="H36">
        <v>35</v>
      </c>
      <c r="I36" t="s">
        <v>379</v>
      </c>
      <c r="AC36">
        <v>34</v>
      </c>
      <c r="AD36" t="s">
        <v>1894</v>
      </c>
      <c r="AF36" s="6" t="s">
        <v>1225</v>
      </c>
      <c r="AG36">
        <v>34</v>
      </c>
    </row>
    <row r="37" spans="2:33" x14ac:dyDescent="0.3">
      <c r="B37" s="19" t="s">
        <v>791</v>
      </c>
      <c r="C37" s="9" t="s">
        <v>86</v>
      </c>
      <c r="D37" s="6" t="s">
        <v>815</v>
      </c>
      <c r="H37">
        <v>36</v>
      </c>
      <c r="I37" t="s">
        <v>380</v>
      </c>
      <c r="AC37">
        <v>35</v>
      </c>
      <c r="AD37" t="s">
        <v>1895</v>
      </c>
      <c r="AF37" s="37" t="s">
        <v>1226</v>
      </c>
      <c r="AG37">
        <v>35</v>
      </c>
    </row>
    <row r="38" spans="2:33" x14ac:dyDescent="0.3">
      <c r="B38" s="19" t="s">
        <v>791</v>
      </c>
      <c r="C38" s="9" t="s">
        <v>87</v>
      </c>
      <c r="D38" s="6" t="s">
        <v>816</v>
      </c>
      <c r="H38">
        <v>37</v>
      </c>
      <c r="I38" t="s">
        <v>381</v>
      </c>
      <c r="AC38">
        <v>36</v>
      </c>
      <c r="AD38" t="s">
        <v>1896</v>
      </c>
      <c r="AF38" s="6" t="s">
        <v>1227</v>
      </c>
      <c r="AG38">
        <v>36</v>
      </c>
    </row>
    <row r="39" spans="2:33" x14ac:dyDescent="0.3">
      <c r="B39" s="19" t="s">
        <v>791</v>
      </c>
      <c r="C39" s="9" t="s">
        <v>88</v>
      </c>
      <c r="D39" s="6" t="s">
        <v>817</v>
      </c>
      <c r="H39">
        <v>38</v>
      </c>
      <c r="I39" t="s">
        <v>382</v>
      </c>
      <c r="AC39">
        <v>37</v>
      </c>
      <c r="AD39" t="s">
        <v>1897</v>
      </c>
      <c r="AF39" s="6" t="s">
        <v>1228</v>
      </c>
      <c r="AG39">
        <v>37</v>
      </c>
    </row>
    <row r="40" spans="2:33" x14ac:dyDescent="0.3">
      <c r="B40" s="19"/>
      <c r="C40" s="9" t="s">
        <v>89</v>
      </c>
      <c r="D40" s="6" t="s">
        <v>818</v>
      </c>
      <c r="H40">
        <v>39</v>
      </c>
      <c r="I40" t="s">
        <v>383</v>
      </c>
      <c r="AC40">
        <v>38</v>
      </c>
      <c r="AD40" t="s">
        <v>1898</v>
      </c>
      <c r="AF40" s="6" t="s">
        <v>1229</v>
      </c>
      <c r="AG40">
        <v>38</v>
      </c>
    </row>
    <row r="41" spans="2:33" x14ac:dyDescent="0.3">
      <c r="B41" s="19" t="s">
        <v>791</v>
      </c>
      <c r="C41" s="9" t="s">
        <v>90</v>
      </c>
      <c r="D41" s="6" t="s">
        <v>819</v>
      </c>
      <c r="H41">
        <v>40</v>
      </c>
      <c r="I41" s="8" t="s">
        <v>2536</v>
      </c>
      <c r="AC41">
        <v>39</v>
      </c>
      <c r="AD41" t="s">
        <v>1899</v>
      </c>
      <c r="AF41" s="6" t="s">
        <v>1230</v>
      </c>
      <c r="AG41">
        <v>39</v>
      </c>
    </row>
    <row r="42" spans="2:33" x14ac:dyDescent="0.3">
      <c r="B42" s="19" t="s">
        <v>791</v>
      </c>
      <c r="C42" s="9" t="s">
        <v>91</v>
      </c>
      <c r="D42" s="6" t="s">
        <v>820</v>
      </c>
      <c r="H42">
        <v>41</v>
      </c>
      <c r="I42" s="8" t="s">
        <v>2537</v>
      </c>
      <c r="AC42">
        <v>40</v>
      </c>
      <c r="AD42" t="s">
        <v>1900</v>
      </c>
      <c r="AF42" s="6" t="s">
        <v>1231</v>
      </c>
      <c r="AG42">
        <v>40</v>
      </c>
    </row>
    <row r="43" spans="2:33" x14ac:dyDescent="0.3">
      <c r="B43" s="19" t="s">
        <v>791</v>
      </c>
      <c r="C43" s="9" t="s">
        <v>92</v>
      </c>
      <c r="D43" s="6" t="s">
        <v>821</v>
      </c>
      <c r="H43">
        <v>42</v>
      </c>
      <c r="I43" s="8" t="s">
        <v>2538</v>
      </c>
      <c r="AC43">
        <v>41</v>
      </c>
      <c r="AD43" t="s">
        <v>1901</v>
      </c>
      <c r="AF43" s="6" t="s">
        <v>1232</v>
      </c>
      <c r="AG43">
        <v>41</v>
      </c>
    </row>
    <row r="44" spans="2:33" x14ac:dyDescent="0.3">
      <c r="B44" s="19" t="s">
        <v>791</v>
      </c>
      <c r="C44" s="9" t="s">
        <v>93</v>
      </c>
      <c r="D44" s="6" t="s">
        <v>822</v>
      </c>
      <c r="H44">
        <v>43</v>
      </c>
      <c r="I44" s="8" t="s">
        <v>2539</v>
      </c>
      <c r="AC44">
        <v>42</v>
      </c>
      <c r="AD44" t="s">
        <v>1902</v>
      </c>
      <c r="AF44" s="6" t="s">
        <v>1233</v>
      </c>
      <c r="AG44">
        <v>42</v>
      </c>
    </row>
    <row r="45" spans="2:33" x14ac:dyDescent="0.3">
      <c r="B45" s="19" t="s">
        <v>791</v>
      </c>
      <c r="C45" s="9" t="s">
        <v>94</v>
      </c>
      <c r="D45" s="6" t="s">
        <v>823</v>
      </c>
      <c r="AC45">
        <v>43</v>
      </c>
      <c r="AD45" t="s">
        <v>1903</v>
      </c>
      <c r="AF45" s="6" t="s">
        <v>1234</v>
      </c>
      <c r="AG45">
        <v>43</v>
      </c>
    </row>
    <row r="46" spans="2:33" x14ac:dyDescent="0.3">
      <c r="B46" s="19" t="s">
        <v>791</v>
      </c>
      <c r="C46" s="9" t="s">
        <v>95</v>
      </c>
      <c r="D46" s="6" t="s">
        <v>824</v>
      </c>
      <c r="AC46">
        <v>44</v>
      </c>
      <c r="AD46" t="s">
        <v>1904</v>
      </c>
      <c r="AF46" s="6" t="s">
        <v>1235</v>
      </c>
      <c r="AG46">
        <v>44</v>
      </c>
    </row>
    <row r="47" spans="2:33" x14ac:dyDescent="0.3">
      <c r="B47" s="19" t="s">
        <v>791</v>
      </c>
      <c r="C47" s="5" t="s">
        <v>96</v>
      </c>
      <c r="D47" s="6" t="s">
        <v>825</v>
      </c>
      <c r="AC47">
        <v>45</v>
      </c>
      <c r="AD47" t="s">
        <v>1905</v>
      </c>
      <c r="AF47" s="6" t="s">
        <v>1236</v>
      </c>
      <c r="AG47">
        <v>45</v>
      </c>
    </row>
    <row r="48" spans="2:33" x14ac:dyDescent="0.3">
      <c r="B48" s="19" t="s">
        <v>791</v>
      </c>
      <c r="C48" s="5" t="s">
        <v>97</v>
      </c>
      <c r="D48" s="6" t="s">
        <v>826</v>
      </c>
      <c r="AC48">
        <v>46</v>
      </c>
      <c r="AD48" t="s">
        <v>1906</v>
      </c>
      <c r="AF48" s="6" t="s">
        <v>1237</v>
      </c>
      <c r="AG48">
        <v>46</v>
      </c>
    </row>
    <row r="49" spans="1:33" x14ac:dyDescent="0.3">
      <c r="B49" s="20" t="s">
        <v>791</v>
      </c>
      <c r="C49" s="93" t="s">
        <v>1844</v>
      </c>
      <c r="D49" s="1" t="s">
        <v>2531</v>
      </c>
      <c r="AC49">
        <v>47</v>
      </c>
      <c r="AD49" t="s">
        <v>1907</v>
      </c>
      <c r="AF49" s="6" t="s">
        <v>1238</v>
      </c>
      <c r="AG49">
        <v>47</v>
      </c>
    </row>
    <row r="50" spans="1:33" x14ac:dyDescent="0.3">
      <c r="B50" s="20" t="s">
        <v>791</v>
      </c>
      <c r="C50" s="93" t="s">
        <v>1845</v>
      </c>
      <c r="D50" s="1" t="s">
        <v>2532</v>
      </c>
      <c r="AC50">
        <v>48</v>
      </c>
      <c r="AD50" t="s">
        <v>1908</v>
      </c>
      <c r="AF50" s="6" t="s">
        <v>1239</v>
      </c>
      <c r="AG50">
        <v>48</v>
      </c>
    </row>
    <row r="51" spans="1:33" x14ac:dyDescent="0.3">
      <c r="B51" s="20" t="s">
        <v>791</v>
      </c>
      <c r="C51" s="93" t="s">
        <v>1846</v>
      </c>
      <c r="D51" s="1" t="s">
        <v>2533</v>
      </c>
      <c r="H51" t="s">
        <v>1832</v>
      </c>
      <c r="AC51">
        <v>49</v>
      </c>
      <c r="AD51" t="s">
        <v>1909</v>
      </c>
      <c r="AF51" s="6" t="s">
        <v>1240</v>
      </c>
      <c r="AG51">
        <v>49</v>
      </c>
    </row>
    <row r="52" spans="1:33" x14ac:dyDescent="0.3">
      <c r="B52" s="20" t="s">
        <v>791</v>
      </c>
      <c r="C52" s="93" t="s">
        <v>1847</v>
      </c>
      <c r="D52" s="1" t="s">
        <v>2534</v>
      </c>
      <c r="H52" s="71" t="s">
        <v>1831</v>
      </c>
      <c r="AC52">
        <v>50</v>
      </c>
      <c r="AD52" t="s">
        <v>1910</v>
      </c>
      <c r="AF52" s="6" t="s">
        <v>1241</v>
      </c>
      <c r="AG52">
        <v>50</v>
      </c>
    </row>
    <row r="53" spans="1:33" x14ac:dyDescent="0.3">
      <c r="AC53">
        <v>51</v>
      </c>
      <c r="AD53" t="s">
        <v>1911</v>
      </c>
      <c r="AF53" s="6" t="s">
        <v>1242</v>
      </c>
      <c r="AG53">
        <v>51</v>
      </c>
    </row>
    <row r="54" spans="1:33" x14ac:dyDescent="0.3">
      <c r="AC54">
        <v>52</v>
      </c>
      <c r="AD54" t="s">
        <v>1912</v>
      </c>
      <c r="AF54" s="6" t="s">
        <v>1243</v>
      </c>
      <c r="AG54">
        <v>52</v>
      </c>
    </row>
    <row r="55" spans="1:33" x14ac:dyDescent="0.3">
      <c r="AC55">
        <v>53</v>
      </c>
      <c r="AD55" t="s">
        <v>1913</v>
      </c>
      <c r="AF55" s="6" t="s">
        <v>1244</v>
      </c>
      <c r="AG55">
        <v>53</v>
      </c>
    </row>
    <row r="56" spans="1:33" x14ac:dyDescent="0.3">
      <c r="A56" s="3" t="s">
        <v>831</v>
      </c>
      <c r="B56" s="31">
        <f>COUNTIF(B2:B52,"Required")</f>
        <v>36</v>
      </c>
      <c r="C56" s="8"/>
      <c r="AC56">
        <v>54</v>
      </c>
      <c r="AD56" t="s">
        <v>1914</v>
      </c>
      <c r="AF56" s="6" t="s">
        <v>1245</v>
      </c>
      <c r="AG56">
        <v>54</v>
      </c>
    </row>
    <row r="57" spans="1:33" x14ac:dyDescent="0.3">
      <c r="AC57">
        <v>55</v>
      </c>
      <c r="AD57" t="s">
        <v>1915</v>
      </c>
      <c r="AF57" s="6" t="s">
        <v>1246</v>
      </c>
      <c r="AG57">
        <v>55</v>
      </c>
    </row>
    <row r="58" spans="1:33" x14ac:dyDescent="0.3">
      <c r="AC58">
        <v>56</v>
      </c>
      <c r="AD58" t="s">
        <v>1916</v>
      </c>
      <c r="AF58" s="6" t="s">
        <v>1247</v>
      </c>
      <c r="AG58">
        <v>56</v>
      </c>
    </row>
    <row r="59" spans="1:33" x14ac:dyDescent="0.3">
      <c r="AC59">
        <v>57</v>
      </c>
      <c r="AD59" t="s">
        <v>1917</v>
      </c>
      <c r="AF59" s="6" t="s">
        <v>1248</v>
      </c>
      <c r="AG59">
        <v>57</v>
      </c>
    </row>
    <row r="60" spans="1:33" x14ac:dyDescent="0.3">
      <c r="B60" s="67" t="s">
        <v>1764</v>
      </c>
      <c r="F60" s="5" t="s">
        <v>8</v>
      </c>
      <c r="G60" s="5" t="s">
        <v>9</v>
      </c>
      <c r="H60" s="5" t="s">
        <v>10</v>
      </c>
      <c r="AC60">
        <v>58</v>
      </c>
      <c r="AD60" t="s">
        <v>1918</v>
      </c>
      <c r="AF60" s="6" t="s">
        <v>1249</v>
      </c>
      <c r="AG60">
        <v>58</v>
      </c>
    </row>
    <row r="61" spans="1:33" x14ac:dyDescent="0.3">
      <c r="B61" s="5"/>
      <c r="C61" s="6"/>
      <c r="F61" s="8"/>
      <c r="G61" s="8"/>
      <c r="H61" s="8"/>
      <c r="AC61">
        <v>59</v>
      </c>
      <c r="AD61" t="s">
        <v>1919</v>
      </c>
      <c r="AF61" s="6" t="s">
        <v>1250</v>
      </c>
      <c r="AG61">
        <v>59</v>
      </c>
    </row>
    <row r="62" spans="1:33" x14ac:dyDescent="0.3">
      <c r="B62" s="32" t="s">
        <v>1014</v>
      </c>
      <c r="AC62">
        <v>60</v>
      </c>
      <c r="AD62" t="s">
        <v>1920</v>
      </c>
      <c r="AF62" s="6" t="s">
        <v>1251</v>
      </c>
      <c r="AG62">
        <v>60</v>
      </c>
    </row>
    <row r="63" spans="1:33" x14ac:dyDescent="0.3">
      <c r="AC63">
        <v>61</v>
      </c>
      <c r="AD63" t="s">
        <v>1921</v>
      </c>
      <c r="AF63" s="6" t="s">
        <v>1252</v>
      </c>
      <c r="AG63">
        <v>61</v>
      </c>
    </row>
    <row r="64" spans="1:33" x14ac:dyDescent="0.3">
      <c r="B64" s="23" t="s">
        <v>4</v>
      </c>
      <c r="C64" s="5" t="s">
        <v>5</v>
      </c>
      <c r="D64" s="5" t="s">
        <v>6</v>
      </c>
      <c r="E64" s="110" t="s">
        <v>7</v>
      </c>
      <c r="F64" s="5" t="s">
        <v>8</v>
      </c>
      <c r="G64" s="110" t="s">
        <v>9</v>
      </c>
      <c r="H64" s="5" t="s">
        <v>10</v>
      </c>
      <c r="AC64">
        <v>62</v>
      </c>
      <c r="AD64" t="s">
        <v>1922</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1923</v>
      </c>
      <c r="AF65" s="6" t="s">
        <v>1254</v>
      </c>
      <c r="AG65">
        <v>63</v>
      </c>
    </row>
    <row r="66" spans="2:33" x14ac:dyDescent="0.3">
      <c r="E66" s="111" t="s">
        <v>2535</v>
      </c>
      <c r="G66" s="111" t="s">
        <v>2535</v>
      </c>
      <c r="AC66">
        <v>64</v>
      </c>
      <c r="AD66" t="s">
        <v>1924</v>
      </c>
      <c r="AF66" s="6" t="s">
        <v>1255</v>
      </c>
      <c r="AG66">
        <v>64</v>
      </c>
    </row>
    <row r="67" spans="2:33" x14ac:dyDescent="0.3">
      <c r="B67" t="s">
        <v>1015</v>
      </c>
      <c r="AC67">
        <v>65</v>
      </c>
      <c r="AD67" t="s">
        <v>1925</v>
      </c>
      <c r="AF67" s="6" t="s">
        <v>1256</v>
      </c>
      <c r="AG67">
        <v>65</v>
      </c>
    </row>
    <row r="68" spans="2:33" x14ac:dyDescent="0.3">
      <c r="B68" s="33">
        <f>B56+w2_con.csv!C22+w2_con.csv!D22+w2_con.csv!NAL+3*w2_con.csv!G22+w2_con.csv!NZP</f>
        <v>42</v>
      </c>
      <c r="AC68">
        <v>66</v>
      </c>
      <c r="AD68" t="s">
        <v>1926</v>
      </c>
      <c r="AF68" s="6" t="s">
        <v>1257</v>
      </c>
      <c r="AG68">
        <v>66</v>
      </c>
    </row>
    <row r="69" spans="2:33" x14ac:dyDescent="0.3">
      <c r="AC69">
        <v>67</v>
      </c>
      <c r="AD69" t="s">
        <v>1927</v>
      </c>
      <c r="AF69" s="6" t="s">
        <v>1258</v>
      </c>
      <c r="AG69">
        <v>67</v>
      </c>
    </row>
    <row r="70" spans="2:33" x14ac:dyDescent="0.3">
      <c r="AC70">
        <v>68</v>
      </c>
      <c r="AD70" t="s">
        <v>1928</v>
      </c>
      <c r="AF70" s="6" t="s">
        <v>1259</v>
      </c>
      <c r="AG70">
        <v>68</v>
      </c>
    </row>
    <row r="71" spans="2:33" x14ac:dyDescent="0.3">
      <c r="AC71">
        <v>69</v>
      </c>
      <c r="AD71" t="s">
        <v>1929</v>
      </c>
      <c r="AF71" s="6" t="s">
        <v>1260</v>
      </c>
      <c r="AG71">
        <v>69</v>
      </c>
    </row>
    <row r="72" spans="2:33" x14ac:dyDescent="0.3">
      <c r="AC72">
        <v>70</v>
      </c>
      <c r="AD72" t="s">
        <v>1930</v>
      </c>
      <c r="AF72" s="6" t="s">
        <v>1261</v>
      </c>
      <c r="AG72">
        <v>70</v>
      </c>
    </row>
    <row r="73" spans="2:33" x14ac:dyDescent="0.3">
      <c r="AC73">
        <v>71</v>
      </c>
      <c r="AD73" t="s">
        <v>1931</v>
      </c>
      <c r="AF73" s="6" t="s">
        <v>1262</v>
      </c>
      <c r="AG73">
        <v>71</v>
      </c>
    </row>
    <row r="74" spans="2:33" x14ac:dyDescent="0.3">
      <c r="AC74">
        <v>72</v>
      </c>
      <c r="AD74" t="s">
        <v>1932</v>
      </c>
      <c r="AF74" s="6" t="s">
        <v>1263</v>
      </c>
      <c r="AG74">
        <v>72</v>
      </c>
    </row>
    <row r="75" spans="2:33" x14ac:dyDescent="0.3">
      <c r="AC75">
        <v>73</v>
      </c>
      <c r="AD75" t="s">
        <v>1933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1442</v>
      </c>
      <c r="B1" s="16"/>
      <c r="C1" s="16"/>
      <c r="D1" s="16"/>
      <c r="E1" s="16"/>
      <c r="F1" s="16"/>
      <c r="G1" s="43"/>
      <c r="H1" s="43"/>
      <c r="I1" s="43"/>
    </row>
    <row r="2" spans="1:14" x14ac:dyDescent="0.3">
      <c r="A2" s="16" t="s">
        <v>1446</v>
      </c>
      <c r="B2" s="16" t="s">
        <v>1447</v>
      </c>
      <c r="C2" s="16"/>
      <c r="D2" s="16"/>
      <c r="E2" s="16"/>
      <c r="F2" s="16"/>
      <c r="G2" s="43"/>
      <c r="H2" s="43"/>
      <c r="I2" s="43"/>
    </row>
    <row r="3" spans="1:14" x14ac:dyDescent="0.3">
      <c r="A3" s="6">
        <v>9</v>
      </c>
      <c r="B3" s="6" t="s">
        <v>1448</v>
      </c>
      <c r="C3" s="16"/>
      <c r="D3" s="16"/>
      <c r="E3" s="16"/>
      <c r="F3" s="16"/>
      <c r="G3" s="43"/>
      <c r="H3" s="43"/>
      <c r="I3" s="43"/>
      <c r="N3" t="s">
        <v>1832</v>
      </c>
    </row>
    <row r="4" spans="1:14" x14ac:dyDescent="0.3">
      <c r="A4" s="16" t="s">
        <v>1449</v>
      </c>
      <c r="B4" s="16" t="s">
        <v>1450</v>
      </c>
      <c r="C4" s="16" t="s">
        <v>1451</v>
      </c>
      <c r="D4" s="16" t="s">
        <v>1452</v>
      </c>
      <c r="E4" s="16"/>
      <c r="F4" s="16"/>
      <c r="G4" s="43"/>
      <c r="H4" s="43"/>
      <c r="I4" s="43"/>
      <c r="N4" s="71" t="s">
        <v>1831</v>
      </c>
    </row>
    <row r="5" spans="1:14" x14ac:dyDescent="0.3">
      <c r="A5" s="16" t="s">
        <v>1453</v>
      </c>
      <c r="B5" s="6">
        <v>0</v>
      </c>
      <c r="C5" s="6">
        <v>18</v>
      </c>
      <c r="D5" s="6">
        <v>5</v>
      </c>
      <c r="E5" s="16"/>
      <c r="F5" s="16"/>
      <c r="G5" s="43"/>
      <c r="H5" s="43"/>
      <c r="I5" s="43"/>
    </row>
    <row r="6" spans="1:14" x14ac:dyDescent="0.3">
      <c r="A6" s="16" t="s">
        <v>1454</v>
      </c>
      <c r="B6" s="6">
        <v>10</v>
      </c>
      <c r="C6" s="6">
        <v>24</v>
      </c>
      <c r="D6" s="6">
        <v>5</v>
      </c>
      <c r="E6" s="16"/>
      <c r="F6" s="16"/>
      <c r="G6" s="43"/>
      <c r="H6" s="43"/>
      <c r="I6" s="43"/>
    </row>
    <row r="7" spans="1:14" x14ac:dyDescent="0.3">
      <c r="A7" s="16" t="s">
        <v>1455</v>
      </c>
      <c r="B7" s="6">
        <v>12</v>
      </c>
      <c r="C7" s="6">
        <v>24</v>
      </c>
      <c r="D7" s="6">
        <v>5</v>
      </c>
      <c r="E7" s="16"/>
      <c r="F7" s="16"/>
      <c r="G7" s="43"/>
      <c r="H7" s="43"/>
      <c r="I7" s="43"/>
    </row>
    <row r="8" spans="1:14" x14ac:dyDescent="0.3">
      <c r="A8" s="16" t="s">
        <v>1456</v>
      </c>
      <c r="B8" s="6">
        <v>0</v>
      </c>
      <c r="C8" s="6">
        <v>28</v>
      </c>
      <c r="D8" s="6">
        <v>3</v>
      </c>
      <c r="E8" s="16"/>
      <c r="F8" s="16"/>
      <c r="G8" s="43"/>
      <c r="H8" s="43"/>
      <c r="I8" s="43"/>
    </row>
    <row r="9" spans="1:14" x14ac:dyDescent="0.3">
      <c r="A9" s="16" t="s">
        <v>1457</v>
      </c>
      <c r="B9" s="6">
        <v>0</v>
      </c>
      <c r="C9" s="6">
        <v>29</v>
      </c>
      <c r="D9" s="6">
        <v>4</v>
      </c>
      <c r="E9" s="16"/>
      <c r="F9" s="16"/>
      <c r="G9" s="43"/>
      <c r="H9" s="43"/>
      <c r="I9" s="43"/>
    </row>
    <row r="10" spans="1:14" x14ac:dyDescent="0.3">
      <c r="A10" s="16" t="s">
        <v>1458</v>
      </c>
      <c r="B10" s="6">
        <v>0</v>
      </c>
      <c r="C10" s="6">
        <v>24.4</v>
      </c>
      <c r="D10" s="6">
        <v>6</v>
      </c>
      <c r="E10" s="16"/>
      <c r="F10" s="16"/>
      <c r="G10" s="43"/>
      <c r="H10" s="43"/>
      <c r="I10" s="43"/>
    </row>
    <row r="11" spans="1:14" x14ac:dyDescent="0.3">
      <c r="A11" s="16" t="s">
        <v>1459</v>
      </c>
      <c r="B11" s="6">
        <v>10</v>
      </c>
      <c r="C11" s="6">
        <v>26.7</v>
      </c>
      <c r="D11" s="6">
        <v>6</v>
      </c>
      <c r="E11" s="16"/>
      <c r="F11" s="16"/>
      <c r="G11" s="43"/>
      <c r="H11" s="43"/>
      <c r="I11" s="43"/>
    </row>
    <row r="12" spans="1:14" x14ac:dyDescent="0.3">
      <c r="A12" s="16" t="s">
        <v>1460</v>
      </c>
      <c r="B12" s="6">
        <v>10</v>
      </c>
      <c r="C12" s="6">
        <v>30</v>
      </c>
      <c r="D12" s="6">
        <v>5</v>
      </c>
      <c r="E12" s="16"/>
      <c r="F12" s="16"/>
      <c r="G12" s="43"/>
      <c r="H12" s="43"/>
      <c r="I12" s="43"/>
    </row>
    <row r="13" spans="1:14" x14ac:dyDescent="0.3">
      <c r="A13" s="16" t="s">
        <v>1461</v>
      </c>
      <c r="B13" s="6">
        <v>18</v>
      </c>
      <c r="C13" s="6">
        <v>31</v>
      </c>
      <c r="D13" s="6">
        <v>5</v>
      </c>
      <c r="E13" s="16"/>
      <c r="F13" s="16"/>
      <c r="G13" s="43"/>
      <c r="H13" s="43"/>
      <c r="I13" s="43"/>
    </row>
    <row r="14" spans="1:14" x14ac:dyDescent="0.3">
      <c r="A14" s="16" t="s">
        <v>1462</v>
      </c>
      <c r="B14" s="16" t="s">
        <v>1463</v>
      </c>
      <c r="C14" s="16"/>
      <c r="D14" s="16"/>
      <c r="E14" s="16"/>
      <c r="F14" s="16"/>
      <c r="G14" s="43"/>
      <c r="H14" s="43"/>
      <c r="I14" s="43"/>
    </row>
    <row r="15" spans="1:14" x14ac:dyDescent="0.3">
      <c r="A15" s="6">
        <v>3</v>
      </c>
      <c r="B15" s="6" t="s">
        <v>1464</v>
      </c>
      <c r="C15" s="16"/>
      <c r="D15" s="16"/>
      <c r="E15" s="16"/>
      <c r="F15" s="16"/>
      <c r="G15" s="43"/>
      <c r="H15" s="43"/>
      <c r="I15" s="43"/>
    </row>
    <row r="16" spans="1:14" x14ac:dyDescent="0.3">
      <c r="A16" s="16" t="s">
        <v>1443</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1465</v>
      </c>
      <c r="B18" s="16" t="s">
        <v>1466</v>
      </c>
      <c r="C18" s="16"/>
      <c r="D18" s="16"/>
      <c r="E18" s="16"/>
      <c r="F18" s="16"/>
      <c r="G18" s="43"/>
      <c r="H18" s="43"/>
      <c r="I18" s="43"/>
    </row>
    <row r="19" spans="1:9" x14ac:dyDescent="0.3">
      <c r="A19" s="6">
        <v>4</v>
      </c>
      <c r="B19" s="6" t="s">
        <v>1467</v>
      </c>
      <c r="C19" s="16"/>
      <c r="D19" s="16"/>
      <c r="E19" s="16"/>
      <c r="F19" s="16"/>
      <c r="G19" s="43"/>
      <c r="H19" s="43"/>
      <c r="I19" s="43"/>
    </row>
    <row r="20" spans="1:9" x14ac:dyDescent="0.3">
      <c r="A20" s="16" t="s">
        <v>1444</v>
      </c>
      <c r="B20" s="16"/>
      <c r="C20" s="16"/>
      <c r="D20" s="16"/>
      <c r="E20" s="16"/>
      <c r="F20" s="16"/>
      <c r="G20" s="43"/>
      <c r="H20" s="43"/>
      <c r="I20" s="43"/>
    </row>
    <row r="21" spans="1:9" x14ac:dyDescent="0.3">
      <c r="A21" s="6" t="s">
        <v>1445</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1987</v>
      </c>
      <c r="B1" s="46"/>
      <c r="C1" s="46"/>
      <c r="D1" s="46"/>
      <c r="E1" s="46"/>
      <c r="F1" s="46"/>
      <c r="G1" s="46"/>
      <c r="H1" s="36"/>
    </row>
    <row r="2" spans="1:15" x14ac:dyDescent="0.3">
      <c r="A2" s="52" t="s">
        <v>1988</v>
      </c>
      <c r="B2" s="46"/>
      <c r="C2" s="46"/>
      <c r="D2" s="46"/>
      <c r="E2" s="46"/>
      <c r="F2" s="46"/>
      <c r="G2" s="46"/>
      <c r="H2" s="36"/>
      <c r="M2" t="s">
        <v>1832</v>
      </c>
    </row>
    <row r="3" spans="1:15" x14ac:dyDescent="0.3">
      <c r="A3" s="52" t="s">
        <v>1989</v>
      </c>
      <c r="B3" s="46"/>
      <c r="C3" s="46"/>
      <c r="D3" s="46"/>
      <c r="E3" s="46"/>
      <c r="F3" s="46"/>
      <c r="G3" s="46"/>
      <c r="H3" s="36"/>
      <c r="M3" s="71" t="s">
        <v>1831</v>
      </c>
    </row>
    <row r="4" spans="1:15" x14ac:dyDescent="0.3">
      <c r="A4" s="52" t="s">
        <v>1990</v>
      </c>
      <c r="B4" s="46"/>
      <c r="C4" s="46"/>
      <c r="D4" s="46"/>
      <c r="E4" s="46"/>
      <c r="F4" s="46"/>
      <c r="G4" s="46"/>
      <c r="H4" s="36"/>
    </row>
    <row r="5" spans="1:15" x14ac:dyDescent="0.3">
      <c r="A5" s="46" t="s">
        <v>1994</v>
      </c>
      <c r="B5" s="6" t="s">
        <v>1991</v>
      </c>
      <c r="C5" s="46"/>
      <c r="D5" s="46"/>
      <c r="E5" s="46"/>
      <c r="F5" s="46"/>
      <c r="G5" s="46"/>
      <c r="H5" s="36"/>
    </row>
    <row r="6" spans="1:15" x14ac:dyDescent="0.3">
      <c r="A6" s="46" t="s">
        <v>2073</v>
      </c>
      <c r="B6" s="6" t="s">
        <v>1992</v>
      </c>
      <c r="C6" s="46"/>
      <c r="D6" s="46"/>
      <c r="E6" s="46"/>
      <c r="F6" s="46"/>
      <c r="G6" s="46"/>
      <c r="H6" s="36"/>
    </row>
    <row r="7" spans="1:15" x14ac:dyDescent="0.3">
      <c r="A7" s="12" t="s">
        <v>2074</v>
      </c>
      <c r="B7" s="12">
        <v>5</v>
      </c>
      <c r="C7" s="12"/>
      <c r="D7" s="12"/>
      <c r="E7" s="12"/>
      <c r="F7" s="12"/>
      <c r="G7" s="12"/>
      <c r="H7" s="13"/>
      <c r="I7" s="91">
        <v>1</v>
      </c>
      <c r="J7" t="s">
        <v>2125</v>
      </c>
      <c r="O7" t="s">
        <v>2146</v>
      </c>
    </row>
    <row r="8" spans="1:15" x14ac:dyDescent="0.3">
      <c r="A8" s="12" t="s">
        <v>2075</v>
      </c>
      <c r="B8" s="12">
        <v>1</v>
      </c>
      <c r="C8" s="12">
        <v>65</v>
      </c>
      <c r="D8" s="12">
        <v>125</v>
      </c>
      <c r="E8" s="12">
        <v>200</v>
      </c>
      <c r="F8" s="12">
        <v>300</v>
      </c>
      <c r="G8" s="12"/>
      <c r="H8" s="95"/>
      <c r="I8" s="92">
        <v>2</v>
      </c>
      <c r="O8" t="s">
        <v>2141</v>
      </c>
    </row>
    <row r="9" spans="1:15" x14ac:dyDescent="0.3">
      <c r="A9" s="12" t="s">
        <v>2076</v>
      </c>
      <c r="B9" s="15">
        <v>50</v>
      </c>
      <c r="C9" s="12">
        <v>100</v>
      </c>
      <c r="D9" s="12">
        <v>175</v>
      </c>
      <c r="E9" s="12">
        <v>250</v>
      </c>
      <c r="F9" s="12">
        <v>400</v>
      </c>
      <c r="G9" s="12"/>
      <c r="H9" s="95"/>
      <c r="I9" s="92">
        <v>3</v>
      </c>
      <c r="O9" t="s">
        <v>2142</v>
      </c>
    </row>
    <row r="10" spans="1:15" x14ac:dyDescent="0.3">
      <c r="A10" s="12" t="s">
        <v>2077</v>
      </c>
      <c r="B10" s="12">
        <v>360000</v>
      </c>
      <c r="C10" s="12"/>
      <c r="D10" s="12"/>
      <c r="E10" s="12"/>
      <c r="F10" s="12"/>
      <c r="G10" s="12"/>
      <c r="H10" s="13"/>
      <c r="I10" s="91">
        <v>4</v>
      </c>
      <c r="O10" t="s">
        <v>2143</v>
      </c>
    </row>
    <row r="11" spans="1:15" x14ac:dyDescent="0.3">
      <c r="A11" s="12" t="s">
        <v>2078</v>
      </c>
      <c r="B11" s="12">
        <v>0</v>
      </c>
      <c r="C11" s="12"/>
      <c r="D11" s="12"/>
      <c r="E11" s="12"/>
      <c r="F11" s="12"/>
      <c r="G11" s="12"/>
      <c r="H11" s="13"/>
      <c r="I11" s="91">
        <v>5</v>
      </c>
      <c r="O11" t="s">
        <v>2144</v>
      </c>
    </row>
    <row r="12" spans="1:15" x14ac:dyDescent="0.3">
      <c r="A12" s="12" t="s">
        <v>2079</v>
      </c>
      <c r="B12" s="86" t="s">
        <v>2080</v>
      </c>
      <c r="C12" s="12"/>
      <c r="D12" s="12"/>
      <c r="E12" s="12"/>
      <c r="F12" s="12"/>
      <c r="G12" s="12"/>
      <c r="H12" s="13"/>
      <c r="I12" s="91">
        <v>6</v>
      </c>
      <c r="O12" t="s">
        <v>2145</v>
      </c>
    </row>
    <row r="13" spans="1:15" x14ac:dyDescent="0.3">
      <c r="A13" s="46" t="s">
        <v>2072</v>
      </c>
      <c r="B13" s="6" t="s">
        <v>1992</v>
      </c>
      <c r="C13" s="46"/>
      <c r="D13" s="46"/>
      <c r="E13" s="46"/>
      <c r="F13" s="46"/>
      <c r="G13" s="46"/>
      <c r="H13" s="36"/>
      <c r="J13" t="s">
        <v>2140</v>
      </c>
    </row>
    <row r="14" spans="1:15" x14ac:dyDescent="0.3">
      <c r="A14" s="16" t="s">
        <v>2081</v>
      </c>
      <c r="B14" s="16">
        <v>1</v>
      </c>
      <c r="C14" s="16"/>
      <c r="D14" s="16"/>
      <c r="E14" s="16"/>
      <c r="F14" s="16"/>
      <c r="G14" s="16"/>
      <c r="H14" s="96"/>
      <c r="I14" s="92">
        <v>1</v>
      </c>
      <c r="J14" t="s">
        <v>2147</v>
      </c>
      <c r="O14" t="s">
        <v>2126</v>
      </c>
    </row>
    <row r="15" spans="1:15" x14ac:dyDescent="0.3">
      <c r="A15" s="87" t="s">
        <v>2082</v>
      </c>
      <c r="B15" s="16">
        <v>6</v>
      </c>
      <c r="C15" s="16"/>
      <c r="D15" s="16"/>
      <c r="E15" s="16"/>
      <c r="F15" s="16"/>
      <c r="G15" s="16"/>
      <c r="H15" s="96"/>
      <c r="I15" s="92">
        <v>2</v>
      </c>
      <c r="O15" t="s">
        <v>2127</v>
      </c>
    </row>
    <row r="16" spans="1:15" x14ac:dyDescent="0.3">
      <c r="A16" s="87" t="s">
        <v>2083</v>
      </c>
      <c r="B16" s="16">
        <v>1</v>
      </c>
      <c r="C16" s="16">
        <v>14</v>
      </c>
      <c r="D16" s="16">
        <v>36</v>
      </c>
      <c r="E16" s="16">
        <v>54</v>
      </c>
      <c r="F16" s="16">
        <v>67</v>
      </c>
      <c r="G16" s="16">
        <v>82</v>
      </c>
      <c r="H16" s="96"/>
      <c r="I16" s="92">
        <v>3</v>
      </c>
      <c r="O16" t="s">
        <v>2128</v>
      </c>
    </row>
    <row r="17" spans="1:15" x14ac:dyDescent="0.3">
      <c r="A17" s="87" t="s">
        <v>2084</v>
      </c>
      <c r="B17" s="16">
        <v>13</v>
      </c>
      <c r="C17" s="16">
        <v>35</v>
      </c>
      <c r="D17" s="16">
        <v>51</v>
      </c>
      <c r="E17" s="16">
        <v>66</v>
      </c>
      <c r="F17" s="16">
        <v>81</v>
      </c>
      <c r="G17" s="16">
        <v>90</v>
      </c>
      <c r="H17" s="96"/>
      <c r="I17" s="92">
        <v>4</v>
      </c>
      <c r="O17" t="s">
        <v>2129</v>
      </c>
    </row>
    <row r="18" spans="1:15" x14ac:dyDescent="0.3">
      <c r="A18" s="16" t="s">
        <v>2085</v>
      </c>
      <c r="B18" s="16">
        <v>1</v>
      </c>
      <c r="C18" s="16">
        <v>1</v>
      </c>
      <c r="D18" s="16">
        <v>1</v>
      </c>
      <c r="E18" s="16">
        <v>1</v>
      </c>
      <c r="F18" s="16">
        <v>1</v>
      </c>
      <c r="G18" s="16">
        <v>1</v>
      </c>
      <c r="H18" s="96"/>
      <c r="I18" s="92">
        <v>5</v>
      </c>
      <c r="O18" t="s">
        <v>2130</v>
      </c>
    </row>
    <row r="19" spans="1:15" x14ac:dyDescent="0.3">
      <c r="A19" s="16" t="s">
        <v>2086</v>
      </c>
      <c r="B19" s="16">
        <v>0</v>
      </c>
      <c r="C19" s="16">
        <v>0</v>
      </c>
      <c r="D19" s="16">
        <v>0</v>
      </c>
      <c r="E19" s="16">
        <v>0</v>
      </c>
      <c r="F19" s="16">
        <v>0</v>
      </c>
      <c r="G19" s="16">
        <v>0</v>
      </c>
      <c r="H19" s="96"/>
      <c r="I19" s="92">
        <v>6</v>
      </c>
      <c r="O19" t="s">
        <v>2131</v>
      </c>
    </row>
    <row r="20" spans="1:15" x14ac:dyDescent="0.3">
      <c r="A20" s="16" t="s">
        <v>2087</v>
      </c>
      <c r="B20" s="16" t="s">
        <v>2088</v>
      </c>
      <c r="C20" s="88"/>
      <c r="D20" s="88"/>
      <c r="E20" s="88"/>
      <c r="F20" s="88"/>
      <c r="G20" s="88"/>
      <c r="H20" s="97"/>
      <c r="I20" s="92">
        <v>7</v>
      </c>
      <c r="O20" t="s">
        <v>2132</v>
      </c>
    </row>
    <row r="21" spans="1:15" x14ac:dyDescent="0.3">
      <c r="A21" s="16" t="s">
        <v>2152</v>
      </c>
      <c r="B21" s="16" t="s">
        <v>2080</v>
      </c>
      <c r="C21" s="88"/>
      <c r="D21" s="88"/>
      <c r="E21" s="88"/>
      <c r="F21" s="88"/>
      <c r="G21" s="88"/>
      <c r="H21" s="98"/>
      <c r="I21" s="91">
        <v>8</v>
      </c>
      <c r="O21" t="s">
        <v>2150</v>
      </c>
    </row>
    <row r="22" spans="1:15" x14ac:dyDescent="0.3">
      <c r="A22" s="16" t="s">
        <v>2153</v>
      </c>
      <c r="B22" s="16" t="s">
        <v>2080</v>
      </c>
      <c r="C22" s="88"/>
      <c r="D22" s="88"/>
      <c r="E22" s="88"/>
      <c r="F22" s="88"/>
      <c r="G22" s="88"/>
      <c r="H22" s="98"/>
      <c r="I22" s="91">
        <v>9</v>
      </c>
      <c r="O22" t="s">
        <v>2151</v>
      </c>
    </row>
    <row r="23" spans="1:15" x14ac:dyDescent="0.3">
      <c r="A23" s="46" t="s">
        <v>1995</v>
      </c>
      <c r="B23" s="6" t="s">
        <v>1991</v>
      </c>
      <c r="C23" s="46"/>
      <c r="D23" s="46"/>
      <c r="E23" s="46"/>
      <c r="F23" s="46"/>
      <c r="G23" s="46"/>
      <c r="H23" s="36"/>
    </row>
    <row r="24" spans="1:15" x14ac:dyDescent="0.3">
      <c r="A24" s="93" t="s">
        <v>2089</v>
      </c>
      <c r="B24" s="93">
        <v>0.2</v>
      </c>
      <c r="C24" s="93"/>
      <c r="D24" s="93"/>
      <c r="E24" s="93"/>
      <c r="F24" s="93"/>
      <c r="G24" s="93"/>
      <c r="H24" s="99"/>
      <c r="I24" s="92">
        <v>1</v>
      </c>
      <c r="J24" t="s">
        <v>2148</v>
      </c>
      <c r="O24" t="s">
        <v>2133</v>
      </c>
    </row>
    <row r="25" spans="1:15" x14ac:dyDescent="0.3">
      <c r="A25" s="93" t="s">
        <v>2090</v>
      </c>
      <c r="B25" s="93">
        <v>0.8</v>
      </c>
      <c r="C25" s="93"/>
      <c r="D25" s="93"/>
      <c r="E25" s="93"/>
      <c r="F25" s="93"/>
      <c r="G25" s="93"/>
      <c r="H25" s="99"/>
      <c r="I25" s="92">
        <v>2</v>
      </c>
      <c r="O25" t="s">
        <v>2134</v>
      </c>
    </row>
    <row r="26" spans="1:15" x14ac:dyDescent="0.3">
      <c r="A26" s="93" t="s">
        <v>2091</v>
      </c>
      <c r="B26" s="93">
        <v>100</v>
      </c>
      <c r="C26" s="93"/>
      <c r="D26" s="93"/>
      <c r="E26" s="93"/>
      <c r="F26" s="93"/>
      <c r="G26" s="93"/>
      <c r="H26" s="99"/>
      <c r="I26" s="92">
        <v>3</v>
      </c>
      <c r="O26" t="s">
        <v>2137</v>
      </c>
    </row>
    <row r="27" spans="1:15" x14ac:dyDescent="0.3">
      <c r="A27" s="93" t="s">
        <v>2092</v>
      </c>
      <c r="B27" s="93">
        <v>2</v>
      </c>
      <c r="C27" s="93"/>
      <c r="D27" s="93"/>
      <c r="E27" s="93"/>
      <c r="F27" s="93"/>
      <c r="G27" s="93"/>
      <c r="H27" s="99"/>
      <c r="I27" s="92">
        <v>4</v>
      </c>
      <c r="O27" t="s">
        <v>2138</v>
      </c>
    </row>
    <row r="28" spans="1:15" x14ac:dyDescent="0.3">
      <c r="A28" s="93" t="s">
        <v>2093</v>
      </c>
      <c r="B28" s="93">
        <v>2600</v>
      </c>
      <c r="C28" s="93"/>
      <c r="D28" s="93"/>
      <c r="E28" s="93"/>
      <c r="F28" s="93"/>
      <c r="G28" s="93"/>
      <c r="H28" s="99"/>
      <c r="I28" s="92">
        <v>5</v>
      </c>
      <c r="O28" t="s">
        <v>2135</v>
      </c>
    </row>
    <row r="29" spans="1:15" x14ac:dyDescent="0.3">
      <c r="A29" s="93" t="s">
        <v>2094</v>
      </c>
      <c r="B29" s="93">
        <v>5</v>
      </c>
      <c r="C29" s="93"/>
      <c r="D29" s="93"/>
      <c r="E29" s="93"/>
      <c r="F29" s="93"/>
      <c r="G29" s="93"/>
      <c r="H29" s="99"/>
      <c r="I29" s="92">
        <v>6</v>
      </c>
      <c r="O29" t="s">
        <v>2136</v>
      </c>
    </row>
    <row r="30" spans="1:15" x14ac:dyDescent="0.3">
      <c r="A30" s="93" t="s">
        <v>2095</v>
      </c>
      <c r="B30" s="94" t="s">
        <v>2080</v>
      </c>
      <c r="C30" s="93"/>
      <c r="D30" s="93"/>
      <c r="E30" s="93"/>
      <c r="F30" s="93"/>
      <c r="G30" s="93"/>
      <c r="H30" s="99"/>
      <c r="I30" s="92">
        <v>7</v>
      </c>
      <c r="O30" t="s">
        <v>2139</v>
      </c>
    </row>
    <row r="31" spans="1:15" x14ac:dyDescent="0.3">
      <c r="A31" s="46" t="s">
        <v>1996</v>
      </c>
      <c r="B31" s="6" t="s">
        <v>1992</v>
      </c>
      <c r="C31" s="46"/>
      <c r="D31" s="46"/>
      <c r="E31" s="46"/>
      <c r="F31" s="46"/>
      <c r="G31" s="46"/>
      <c r="H31" s="36"/>
      <c r="J31" t="s">
        <v>2149</v>
      </c>
    </row>
    <row r="32" spans="1:15" x14ac:dyDescent="0.3">
      <c r="A32" s="45" t="s">
        <v>2096</v>
      </c>
      <c r="B32" s="89" t="s">
        <v>2097</v>
      </c>
      <c r="C32" s="45"/>
      <c r="D32" s="45"/>
      <c r="E32" s="45"/>
      <c r="F32" s="45"/>
      <c r="G32" s="45"/>
      <c r="H32" s="44"/>
      <c r="I32" s="91">
        <v>1</v>
      </c>
      <c r="O32" t="s">
        <v>2154</v>
      </c>
    </row>
    <row r="33" spans="1:15" x14ac:dyDescent="0.3">
      <c r="A33" s="45" t="s">
        <v>2098</v>
      </c>
      <c r="B33" s="89">
        <v>1.4E-3</v>
      </c>
      <c r="C33" s="45"/>
      <c r="D33" s="45"/>
      <c r="E33" s="45"/>
      <c r="F33" s="45"/>
      <c r="G33" s="45"/>
      <c r="H33" s="100"/>
      <c r="I33" s="92">
        <v>2</v>
      </c>
      <c r="O33" t="s">
        <v>2155</v>
      </c>
    </row>
    <row r="34" spans="1:15" x14ac:dyDescent="0.3">
      <c r="A34" s="45" t="s">
        <v>2099</v>
      </c>
      <c r="B34" s="89" t="s">
        <v>2100</v>
      </c>
      <c r="C34" s="45"/>
      <c r="D34" s="45"/>
      <c r="E34" s="45"/>
      <c r="F34" s="45"/>
      <c r="G34" s="45"/>
      <c r="H34" s="100"/>
      <c r="I34" s="92">
        <v>3</v>
      </c>
      <c r="O34" t="s">
        <v>2156</v>
      </c>
    </row>
    <row r="35" spans="1:15" x14ac:dyDescent="0.3">
      <c r="A35" s="45" t="s">
        <v>2101</v>
      </c>
      <c r="B35" s="45">
        <v>300</v>
      </c>
      <c r="C35" s="45"/>
      <c r="D35" s="45"/>
      <c r="E35" s="45"/>
      <c r="F35" s="45"/>
      <c r="G35" s="45"/>
      <c r="H35" s="44"/>
      <c r="I35" s="91">
        <v>4</v>
      </c>
      <c r="O35" t="s">
        <v>2157</v>
      </c>
    </row>
    <row r="36" spans="1:15" x14ac:dyDescent="0.3">
      <c r="A36" s="45" t="s">
        <v>2102</v>
      </c>
      <c r="B36" s="45">
        <v>0</v>
      </c>
      <c r="C36" s="45"/>
      <c r="D36" s="45"/>
      <c r="E36" s="45"/>
      <c r="F36" s="45"/>
      <c r="G36" s="45"/>
      <c r="H36" s="44"/>
      <c r="I36" s="91">
        <v>5</v>
      </c>
      <c r="O36" t="s">
        <v>2158</v>
      </c>
    </row>
    <row r="37" spans="1:15" x14ac:dyDescent="0.3">
      <c r="A37" s="45" t="s">
        <v>2103</v>
      </c>
      <c r="B37" s="89">
        <v>0.2</v>
      </c>
      <c r="C37" s="45"/>
      <c r="D37" s="45"/>
      <c r="E37" s="45"/>
      <c r="F37" s="45"/>
      <c r="G37" s="45"/>
      <c r="H37" s="44"/>
      <c r="I37" s="91">
        <v>6</v>
      </c>
      <c r="O37" t="s">
        <v>2159</v>
      </c>
    </row>
    <row r="38" spans="1:15" x14ac:dyDescent="0.3">
      <c r="A38" s="45" t="s">
        <v>2104</v>
      </c>
      <c r="B38" s="89" t="s">
        <v>2105</v>
      </c>
      <c r="C38" s="45"/>
      <c r="D38" s="45"/>
      <c r="E38" s="45"/>
      <c r="F38" s="45"/>
      <c r="G38" s="45"/>
      <c r="H38" s="44"/>
      <c r="I38" s="91">
        <v>7</v>
      </c>
      <c r="O38" t="s">
        <v>2160</v>
      </c>
    </row>
    <row r="39" spans="1:15" x14ac:dyDescent="0.3">
      <c r="A39" s="45" t="s">
        <v>2106</v>
      </c>
      <c r="B39" s="89">
        <v>80</v>
      </c>
      <c r="C39" s="45"/>
      <c r="D39" s="45"/>
      <c r="E39" s="45"/>
      <c r="F39" s="45"/>
      <c r="G39" s="45"/>
      <c r="H39" s="100"/>
      <c r="I39" s="92">
        <v>8</v>
      </c>
      <c r="O39" t="s">
        <v>2161</v>
      </c>
    </row>
    <row r="40" spans="1:15" x14ac:dyDescent="0.3">
      <c r="A40" s="45" t="s">
        <v>2107</v>
      </c>
      <c r="B40" s="89" t="s">
        <v>2105</v>
      </c>
      <c r="C40" s="45"/>
      <c r="D40" s="45"/>
      <c r="E40" s="45"/>
      <c r="F40" s="45"/>
      <c r="G40" s="45"/>
      <c r="H40" s="100"/>
      <c r="I40" s="92">
        <v>9</v>
      </c>
      <c r="O40" t="s">
        <v>2162</v>
      </c>
    </row>
    <row r="41" spans="1:15" x14ac:dyDescent="0.3">
      <c r="A41" s="45" t="s">
        <v>2108</v>
      </c>
      <c r="B41" s="89">
        <v>1E-3</v>
      </c>
      <c r="C41" s="45"/>
      <c r="D41" s="45"/>
      <c r="E41" s="45"/>
      <c r="F41" s="45"/>
      <c r="G41" s="45"/>
      <c r="H41" s="44"/>
      <c r="I41" s="91">
        <v>10</v>
      </c>
      <c r="O41" t="s">
        <v>2163</v>
      </c>
    </row>
    <row r="42" spans="1:15" x14ac:dyDescent="0.3">
      <c r="A42" s="45" t="s">
        <v>2109</v>
      </c>
      <c r="B42" s="89">
        <v>0.1</v>
      </c>
      <c r="C42" s="45"/>
      <c r="D42" s="45"/>
      <c r="E42" s="45"/>
      <c r="F42" s="45"/>
      <c r="G42" s="45"/>
      <c r="H42" s="44"/>
      <c r="I42" s="91">
        <v>11</v>
      </c>
      <c r="O42" t="s">
        <v>2164</v>
      </c>
    </row>
    <row r="43" spans="1:15" x14ac:dyDescent="0.3">
      <c r="A43" s="45" t="s">
        <v>2110</v>
      </c>
      <c r="B43" s="89">
        <v>2000</v>
      </c>
      <c r="C43" s="45"/>
      <c r="D43" s="45"/>
      <c r="E43" s="45"/>
      <c r="F43" s="45"/>
      <c r="G43" s="45"/>
      <c r="H43" s="44"/>
      <c r="I43" s="91">
        <v>12</v>
      </c>
      <c r="O43" t="s">
        <v>2165</v>
      </c>
    </row>
    <row r="44" spans="1:15" x14ac:dyDescent="0.3">
      <c r="A44" s="45" t="s">
        <v>2111</v>
      </c>
      <c r="B44" s="89">
        <v>1E-3</v>
      </c>
      <c r="C44" s="45"/>
      <c r="D44" s="45"/>
      <c r="E44" s="45"/>
      <c r="F44" s="45"/>
      <c r="G44" s="45"/>
      <c r="H44" s="44"/>
      <c r="I44" s="91">
        <v>13</v>
      </c>
      <c r="O44" t="s">
        <v>2166</v>
      </c>
    </row>
    <row r="45" spans="1:15" x14ac:dyDescent="0.3">
      <c r="A45" s="45" t="s">
        <v>2112</v>
      </c>
      <c r="B45" s="89" t="s">
        <v>2113</v>
      </c>
      <c r="C45" s="45"/>
      <c r="D45" s="45"/>
      <c r="E45" s="45"/>
      <c r="F45" s="45"/>
      <c r="G45" s="45"/>
      <c r="H45" s="44"/>
      <c r="I45" s="91">
        <v>14</v>
      </c>
      <c r="O45" t="s">
        <v>2167</v>
      </c>
    </row>
    <row r="46" spans="1:15" x14ac:dyDescent="0.3">
      <c r="A46" s="45" t="s">
        <v>2114</v>
      </c>
      <c r="B46" s="89" t="s">
        <v>2080</v>
      </c>
      <c r="C46" s="45"/>
      <c r="D46" s="45"/>
      <c r="E46" s="45"/>
      <c r="F46" s="45"/>
      <c r="G46" s="45"/>
      <c r="H46" s="44"/>
      <c r="I46" s="91">
        <v>15</v>
      </c>
      <c r="O46" t="s">
        <v>2168</v>
      </c>
    </row>
    <row r="47" spans="1:15" x14ac:dyDescent="0.3">
      <c r="A47" s="45" t="s">
        <v>2115</v>
      </c>
      <c r="B47" s="89">
        <v>1E-3</v>
      </c>
      <c r="C47" s="45"/>
      <c r="D47" s="45"/>
      <c r="E47" s="45"/>
      <c r="F47" s="45"/>
      <c r="G47" s="45"/>
      <c r="H47" s="44"/>
      <c r="I47" s="91">
        <v>16</v>
      </c>
      <c r="O47" t="s">
        <v>2169</v>
      </c>
    </row>
    <row r="48" spans="1:15" x14ac:dyDescent="0.3">
      <c r="A48" s="46" t="s">
        <v>1997</v>
      </c>
      <c r="B48" s="6" t="s">
        <v>1992</v>
      </c>
      <c r="C48" s="46"/>
      <c r="D48" s="46"/>
      <c r="E48" s="46"/>
      <c r="F48" s="46"/>
      <c r="G48" s="46"/>
      <c r="H48" s="36"/>
      <c r="J48" t="s">
        <v>2274</v>
      </c>
    </row>
    <row r="49" spans="1:15" x14ac:dyDescent="0.3">
      <c r="A49" s="12" t="s">
        <v>2116</v>
      </c>
      <c r="B49" s="12">
        <v>1E-3</v>
      </c>
      <c r="C49" s="46"/>
      <c r="D49" s="46"/>
      <c r="E49" s="46"/>
      <c r="F49" s="46"/>
      <c r="G49" s="46"/>
      <c r="H49" s="36"/>
      <c r="I49" s="91">
        <v>1</v>
      </c>
      <c r="O49" t="s">
        <v>2180</v>
      </c>
    </row>
    <row r="50" spans="1:15" x14ac:dyDescent="0.3">
      <c r="A50" s="12" t="s">
        <v>2117</v>
      </c>
      <c r="B50" s="12">
        <v>10</v>
      </c>
      <c r="C50" s="46"/>
      <c r="D50" s="46"/>
      <c r="E50" s="46"/>
      <c r="F50" s="46"/>
      <c r="G50" s="46"/>
      <c r="H50" s="36"/>
      <c r="I50" s="91">
        <v>2</v>
      </c>
      <c r="O50" t="s">
        <v>2181</v>
      </c>
    </row>
    <row r="51" spans="1:15" ht="28.8" x14ac:dyDescent="0.3">
      <c r="A51" s="90" t="s">
        <v>2118</v>
      </c>
      <c r="B51" s="86" t="s">
        <v>2080</v>
      </c>
      <c r="C51" s="46"/>
      <c r="D51" s="46"/>
      <c r="E51" s="46"/>
      <c r="F51" s="46"/>
      <c r="G51" s="46"/>
      <c r="H51" s="36"/>
      <c r="I51" s="91">
        <v>3</v>
      </c>
      <c r="O51" t="s">
        <v>2182</v>
      </c>
    </row>
    <row r="52" spans="1:15" x14ac:dyDescent="0.3">
      <c r="A52" s="12" t="s">
        <v>2119</v>
      </c>
      <c r="B52" s="12">
        <v>1.5</v>
      </c>
      <c r="C52" s="46"/>
      <c r="D52" s="46"/>
      <c r="E52" s="46"/>
      <c r="F52" s="46"/>
      <c r="G52" s="46"/>
      <c r="H52" s="36"/>
      <c r="I52" s="91">
        <v>4</v>
      </c>
      <c r="O52" t="s">
        <v>2183</v>
      </c>
    </row>
    <row r="53" spans="1:15" x14ac:dyDescent="0.3">
      <c r="A53" s="12" t="s">
        <v>2120</v>
      </c>
      <c r="B53" s="12">
        <v>1E-4</v>
      </c>
      <c r="C53" s="46"/>
      <c r="D53" s="46"/>
      <c r="E53" s="46"/>
      <c r="F53" s="46"/>
      <c r="G53" s="46"/>
      <c r="H53" s="36"/>
      <c r="I53" s="91">
        <v>5</v>
      </c>
      <c r="O53" t="s">
        <v>2184</v>
      </c>
    </row>
    <row r="54" spans="1:15" x14ac:dyDescent="0.3">
      <c r="A54" s="46" t="s">
        <v>1998</v>
      </c>
      <c r="B54" s="6" t="s">
        <v>1992</v>
      </c>
      <c r="C54" s="46"/>
      <c r="D54" s="46"/>
      <c r="E54" s="46"/>
      <c r="F54" s="46"/>
      <c r="G54" s="46"/>
      <c r="H54" s="36"/>
      <c r="O54" t="s">
        <v>2177</v>
      </c>
    </row>
    <row r="55" spans="1:15" x14ac:dyDescent="0.3">
      <c r="A55" s="46" t="s">
        <v>1999</v>
      </c>
      <c r="B55" s="6" t="s">
        <v>1992</v>
      </c>
      <c r="C55" s="46"/>
      <c r="D55" s="46"/>
      <c r="E55" s="46"/>
      <c r="F55" s="46"/>
      <c r="O55" t="s">
        <v>2178</v>
      </c>
    </row>
    <row r="56" spans="1:15" x14ac:dyDescent="0.3">
      <c r="A56" s="46" t="s">
        <v>2000</v>
      </c>
      <c r="B56" s="6" t="s">
        <v>1992</v>
      </c>
      <c r="C56" s="46"/>
      <c r="D56" s="46"/>
      <c r="E56" s="46"/>
      <c r="F56" s="46"/>
      <c r="O56" t="s">
        <v>2179</v>
      </c>
    </row>
    <row r="57" spans="1:15" x14ac:dyDescent="0.3">
      <c r="A57" s="64" t="s">
        <v>2001</v>
      </c>
      <c r="B57" s="6">
        <v>2</v>
      </c>
      <c r="C57" s="46"/>
      <c r="D57" s="46"/>
      <c r="E57" s="46"/>
      <c r="F57" s="46"/>
      <c r="G57" s="6"/>
      <c r="H57" s="1"/>
    </row>
    <row r="58" spans="1:15" x14ac:dyDescent="0.3">
      <c r="A58" s="19"/>
      <c r="B58" s="19" t="s">
        <v>2170</v>
      </c>
      <c r="C58" s="19" t="s">
        <v>2171</v>
      </c>
      <c r="D58" s="19" t="s">
        <v>2172</v>
      </c>
      <c r="E58" s="19" t="s">
        <v>2173</v>
      </c>
      <c r="F58" s="19" t="s">
        <v>2174</v>
      </c>
      <c r="G58" s="19"/>
      <c r="H58" s="32"/>
      <c r="I58" s="21"/>
      <c r="J58" s="21" t="s">
        <v>2275</v>
      </c>
    </row>
    <row r="59" spans="1:15" x14ac:dyDescent="0.3">
      <c r="A59" s="16" t="s">
        <v>2002</v>
      </c>
      <c r="B59" s="6">
        <v>2</v>
      </c>
      <c r="C59" s="6">
        <v>14</v>
      </c>
      <c r="D59" s="6"/>
      <c r="E59" s="6"/>
      <c r="F59" s="6"/>
      <c r="G59" s="6"/>
      <c r="H59" s="1"/>
      <c r="I59" s="91">
        <v>1</v>
      </c>
      <c r="O59" t="s">
        <v>2189</v>
      </c>
    </row>
    <row r="60" spans="1:15" x14ac:dyDescent="0.3">
      <c r="A60" s="16" t="s">
        <v>2003</v>
      </c>
      <c r="B60" s="6">
        <v>13</v>
      </c>
      <c r="C60" s="6">
        <v>31</v>
      </c>
      <c r="D60" s="6"/>
      <c r="E60" s="6"/>
      <c r="F60" s="6"/>
      <c r="G60" s="6"/>
      <c r="H60" s="1"/>
      <c r="I60" s="91">
        <v>2</v>
      </c>
      <c r="O60" t="s">
        <v>2190</v>
      </c>
    </row>
    <row r="61" spans="1:15" x14ac:dyDescent="0.3">
      <c r="A61" s="46" t="s">
        <v>2004</v>
      </c>
      <c r="B61" s="6">
        <v>10</v>
      </c>
      <c r="C61" s="6">
        <v>10</v>
      </c>
      <c r="D61" s="6"/>
      <c r="E61" s="6"/>
      <c r="F61" s="6"/>
      <c r="G61" s="6"/>
      <c r="H61" s="1"/>
      <c r="I61" s="91">
        <v>3</v>
      </c>
      <c r="O61" t="s">
        <v>2191</v>
      </c>
    </row>
    <row r="62" spans="1:15" x14ac:dyDescent="0.3">
      <c r="A62" s="46" t="s">
        <v>2278</v>
      </c>
      <c r="B62" s="6">
        <v>7</v>
      </c>
      <c r="C62" s="6">
        <v>7</v>
      </c>
      <c r="D62" s="6"/>
      <c r="E62" s="6"/>
      <c r="F62" s="6"/>
      <c r="G62" s="6"/>
      <c r="H62" s="1"/>
      <c r="I62" s="91">
        <v>4</v>
      </c>
      <c r="O62" t="s">
        <v>2192</v>
      </c>
    </row>
    <row r="63" spans="1:15" x14ac:dyDescent="0.3">
      <c r="A63" s="46" t="s">
        <v>2005</v>
      </c>
      <c r="B63" s="6">
        <v>2275.9459999999999</v>
      </c>
      <c r="C63" s="6">
        <v>2275.9459999999999</v>
      </c>
      <c r="D63" s="6"/>
      <c r="E63" s="6"/>
      <c r="F63" s="6"/>
      <c r="G63" s="6"/>
      <c r="H63" s="1"/>
      <c r="I63" s="91">
        <v>5</v>
      </c>
      <c r="O63" t="s">
        <v>2193</v>
      </c>
    </row>
    <row r="64" spans="1:15" x14ac:dyDescent="0.3">
      <c r="A64" s="46" t="s">
        <v>2006</v>
      </c>
      <c r="B64" s="6">
        <v>326.00299999999999</v>
      </c>
      <c r="C64" s="6">
        <v>326.00299999999999</v>
      </c>
      <c r="D64" s="6"/>
      <c r="E64" s="6"/>
      <c r="F64" s="6"/>
      <c r="G64" s="6"/>
      <c r="H64" s="1"/>
      <c r="I64" s="91">
        <v>6</v>
      </c>
      <c r="O64" t="s">
        <v>2194</v>
      </c>
    </row>
    <row r="65" spans="1:15" x14ac:dyDescent="0.3">
      <c r="A65" s="46" t="s">
        <v>2007</v>
      </c>
      <c r="B65" s="6">
        <v>25.265999999999998</v>
      </c>
      <c r="C65" s="6">
        <v>25.265999999999998</v>
      </c>
      <c r="D65" s="6"/>
      <c r="E65" s="6"/>
      <c r="F65" s="6"/>
      <c r="G65" s="6"/>
      <c r="H65" s="1"/>
      <c r="I65" s="91">
        <v>7</v>
      </c>
      <c r="O65" t="s">
        <v>2195</v>
      </c>
    </row>
    <row r="66" spans="1:15" x14ac:dyDescent="0.3">
      <c r="A66" s="46" t="s">
        <v>2008</v>
      </c>
      <c r="B66" s="6">
        <v>0</v>
      </c>
      <c r="C66" s="6">
        <v>0</v>
      </c>
      <c r="D66" s="6"/>
      <c r="E66" s="6"/>
      <c r="F66" s="6"/>
      <c r="G66" s="6"/>
      <c r="H66" s="1"/>
      <c r="I66" s="91">
        <v>8</v>
      </c>
      <c r="O66" t="s">
        <v>2196</v>
      </c>
    </row>
    <row r="67" spans="1:15" x14ac:dyDescent="0.3">
      <c r="A67" s="46" t="s">
        <v>2009</v>
      </c>
      <c r="B67" s="6">
        <v>0.05</v>
      </c>
      <c r="C67" s="6">
        <v>0.05</v>
      </c>
      <c r="D67" s="6"/>
      <c r="E67" s="6"/>
      <c r="F67" s="6"/>
      <c r="G67" s="6"/>
      <c r="H67" s="1"/>
      <c r="I67" s="91">
        <v>9</v>
      </c>
      <c r="O67" t="s">
        <v>2197</v>
      </c>
    </row>
    <row r="68" spans="1:15" x14ac:dyDescent="0.3">
      <c r="A68" s="46" t="s">
        <v>2010</v>
      </c>
      <c r="B68" s="6">
        <v>0</v>
      </c>
      <c r="C68" s="6">
        <v>0</v>
      </c>
      <c r="D68" s="6"/>
      <c r="E68" s="6"/>
      <c r="F68" s="6"/>
      <c r="G68" s="6"/>
      <c r="H68" s="1"/>
      <c r="I68" s="91">
        <v>10</v>
      </c>
      <c r="O68" t="s">
        <v>2198</v>
      </c>
    </row>
    <row r="69" spans="1:15" x14ac:dyDescent="0.3">
      <c r="A69" s="46" t="s">
        <v>2011</v>
      </c>
      <c r="B69" s="6">
        <v>9.5050000000000008</v>
      </c>
      <c r="C69" s="6">
        <v>9.5050000000000008</v>
      </c>
      <c r="D69" s="6"/>
      <c r="E69" s="6"/>
      <c r="F69" s="6"/>
      <c r="G69" s="6"/>
      <c r="H69" s="1"/>
      <c r="I69" s="91">
        <v>11</v>
      </c>
      <c r="O69" t="s">
        <v>2199</v>
      </c>
    </row>
    <row r="70" spans="1:15" x14ac:dyDescent="0.3">
      <c r="A70" s="46" t="s">
        <v>2012</v>
      </c>
      <c r="B70" s="6">
        <v>0</v>
      </c>
      <c r="C70" s="6">
        <v>0</v>
      </c>
      <c r="D70" s="6"/>
      <c r="E70" s="6"/>
      <c r="F70" s="6"/>
      <c r="G70" s="6"/>
      <c r="H70" s="1"/>
      <c r="I70" s="91">
        <v>12</v>
      </c>
      <c r="O70" t="s">
        <v>2200</v>
      </c>
    </row>
    <row r="71" spans="1:15" x14ac:dyDescent="0.3">
      <c r="A71" s="46" t="s">
        <v>2013</v>
      </c>
      <c r="B71" s="6">
        <v>9.1999999999999998E-2</v>
      </c>
      <c r="C71" s="6">
        <v>9.1999999999999998E-2</v>
      </c>
      <c r="D71" s="6"/>
      <c r="E71" s="6"/>
      <c r="F71" s="6"/>
      <c r="G71" s="6"/>
      <c r="H71" s="1"/>
      <c r="I71" s="91">
        <v>13</v>
      </c>
      <c r="O71" t="s">
        <v>2201</v>
      </c>
    </row>
    <row r="72" spans="1:15" x14ac:dyDescent="0.3">
      <c r="A72" s="46" t="s">
        <v>2014</v>
      </c>
      <c r="B72" s="6">
        <v>4.0110000000000001</v>
      </c>
      <c r="C72" s="6">
        <v>4.0110000000000001</v>
      </c>
      <c r="D72" s="6"/>
      <c r="E72" s="6"/>
      <c r="F72" s="6"/>
      <c r="G72" s="6"/>
      <c r="H72" s="1"/>
      <c r="I72" s="91">
        <v>14</v>
      </c>
      <c r="O72" t="s">
        <v>2202</v>
      </c>
    </row>
    <row r="73" spans="1:15" x14ac:dyDescent="0.3">
      <c r="A73" s="46" t="s">
        <v>2208</v>
      </c>
      <c r="B73" s="6">
        <v>50</v>
      </c>
      <c r="C73" s="6">
        <v>50</v>
      </c>
      <c r="D73" s="6"/>
      <c r="E73" s="6"/>
      <c r="F73" s="6"/>
      <c r="G73" s="6"/>
      <c r="H73" s="1"/>
      <c r="I73" s="91">
        <v>15</v>
      </c>
      <c r="O73" t="s">
        <v>2203</v>
      </c>
    </row>
    <row r="74" spans="1:15" x14ac:dyDescent="0.3">
      <c r="A74" s="46" t="s">
        <v>2209</v>
      </c>
      <c r="B74" s="6"/>
      <c r="C74" s="6"/>
      <c r="D74" s="6"/>
      <c r="E74" s="6"/>
      <c r="F74" s="6"/>
      <c r="G74" s="6"/>
      <c r="H74" s="1"/>
      <c r="I74" s="91">
        <v>16</v>
      </c>
      <c r="O74" t="s">
        <v>2204</v>
      </c>
    </row>
    <row r="75" spans="1:15" x14ac:dyDescent="0.3">
      <c r="A75" s="46" t="s">
        <v>2186</v>
      </c>
      <c r="B75" s="6"/>
      <c r="C75" s="6"/>
      <c r="D75" s="6"/>
      <c r="E75" s="6"/>
      <c r="F75" s="6"/>
      <c r="G75" s="6"/>
      <c r="H75" s="1"/>
      <c r="I75" s="91">
        <v>17</v>
      </c>
      <c r="O75" t="s">
        <v>2205</v>
      </c>
    </row>
    <row r="76" spans="1:15" x14ac:dyDescent="0.3">
      <c r="A76" s="46" t="s">
        <v>2187</v>
      </c>
      <c r="B76" s="6"/>
      <c r="C76" s="6"/>
      <c r="D76" s="6"/>
      <c r="E76" s="6"/>
      <c r="F76" s="6"/>
      <c r="G76" s="6"/>
      <c r="H76" s="1"/>
      <c r="I76" s="91">
        <v>18</v>
      </c>
      <c r="O76" t="s">
        <v>2206</v>
      </c>
    </row>
    <row r="77" spans="1:15" x14ac:dyDescent="0.3">
      <c r="A77" s="46" t="s">
        <v>2188</v>
      </c>
      <c r="B77" s="6"/>
      <c r="C77" s="6"/>
      <c r="D77" s="6"/>
      <c r="E77" s="6"/>
      <c r="F77" s="6"/>
      <c r="G77" s="6"/>
      <c r="H77" s="1"/>
      <c r="I77" s="91">
        <v>19</v>
      </c>
      <c r="O77" t="s">
        <v>2207</v>
      </c>
    </row>
    <row r="78" spans="1:15" x14ac:dyDescent="0.3">
      <c r="A78" s="64" t="s">
        <v>2015</v>
      </c>
      <c r="B78" s="6">
        <v>2</v>
      </c>
      <c r="C78" s="6"/>
      <c r="D78" s="6"/>
      <c r="E78" s="6"/>
      <c r="F78" s="6"/>
      <c r="G78" s="6"/>
      <c r="H78" s="1"/>
      <c r="I78" t="s">
        <v>2185</v>
      </c>
    </row>
    <row r="79" spans="1:15" x14ac:dyDescent="0.3">
      <c r="A79" s="19"/>
      <c r="B79" s="19" t="s">
        <v>2170</v>
      </c>
      <c r="C79" s="19" t="s">
        <v>2171</v>
      </c>
      <c r="D79" s="19" t="s">
        <v>2172</v>
      </c>
      <c r="E79" s="19" t="s">
        <v>2173</v>
      </c>
      <c r="F79" s="19" t="s">
        <v>2174</v>
      </c>
      <c r="G79" s="19"/>
      <c r="H79" s="32"/>
      <c r="I79" s="21"/>
      <c r="J79" s="21" t="s">
        <v>2276</v>
      </c>
    </row>
    <row r="80" spans="1:15" x14ac:dyDescent="0.3">
      <c r="A80" s="16" t="s">
        <v>2002</v>
      </c>
      <c r="B80" s="6">
        <v>2</v>
      </c>
      <c r="C80" s="6">
        <v>14</v>
      </c>
      <c r="D80" s="6"/>
      <c r="E80" s="6"/>
      <c r="F80" s="6"/>
      <c r="G80" s="6"/>
      <c r="H80" s="1"/>
      <c r="I80" s="91">
        <v>1</v>
      </c>
      <c r="O80" t="s">
        <v>2210</v>
      </c>
    </row>
    <row r="81" spans="1:15" x14ac:dyDescent="0.3">
      <c r="A81" s="16" t="s">
        <v>2003</v>
      </c>
      <c r="B81" s="6">
        <v>13</v>
      </c>
      <c r="C81" s="6">
        <v>31</v>
      </c>
      <c r="D81" s="6"/>
      <c r="E81" s="6"/>
      <c r="F81" s="6"/>
      <c r="G81" s="6"/>
      <c r="H81" s="1"/>
      <c r="I81" s="91">
        <v>2</v>
      </c>
      <c r="O81" t="s">
        <v>2211</v>
      </c>
    </row>
    <row r="82" spans="1:15" x14ac:dyDescent="0.3">
      <c r="A82" s="46" t="s">
        <v>2016</v>
      </c>
      <c r="B82" s="6">
        <v>0.1</v>
      </c>
      <c r="C82" s="6">
        <v>0.1</v>
      </c>
      <c r="D82" s="6"/>
      <c r="E82" s="6"/>
      <c r="F82" s="6"/>
      <c r="G82" s="6"/>
      <c r="H82" s="1"/>
      <c r="I82" s="91">
        <v>3</v>
      </c>
      <c r="O82" t="s">
        <v>2212</v>
      </c>
    </row>
    <row r="83" spans="1:15" x14ac:dyDescent="0.3">
      <c r="A83" s="46" t="s">
        <v>2017</v>
      </c>
      <c r="B83" s="6">
        <v>0.89</v>
      </c>
      <c r="C83" s="6">
        <v>0.89</v>
      </c>
      <c r="D83" s="6"/>
      <c r="E83" s="6"/>
      <c r="F83" s="6"/>
      <c r="G83" s="6"/>
      <c r="H83" s="1"/>
      <c r="I83" s="91">
        <v>4</v>
      </c>
      <c r="O83" t="s">
        <v>2213</v>
      </c>
    </row>
    <row r="84" spans="1:15" x14ac:dyDescent="0.3">
      <c r="A84" s="46" t="s">
        <v>2018</v>
      </c>
      <c r="B84" s="6">
        <v>0.1</v>
      </c>
      <c r="C84" s="6">
        <v>0.1</v>
      </c>
      <c r="D84" s="6"/>
      <c r="E84" s="6"/>
      <c r="F84" s="6"/>
      <c r="G84" s="6"/>
      <c r="H84" s="1"/>
      <c r="I84" s="91">
        <v>5</v>
      </c>
      <c r="O84" t="s">
        <v>2214</v>
      </c>
    </row>
    <row r="85" spans="1:15" x14ac:dyDescent="0.3">
      <c r="A85" s="46" t="s">
        <v>2019</v>
      </c>
      <c r="B85" s="6">
        <v>0.89</v>
      </c>
      <c r="C85" s="6">
        <v>0.89</v>
      </c>
      <c r="D85" s="6"/>
      <c r="E85" s="6"/>
      <c r="F85" s="6"/>
      <c r="G85" s="6"/>
      <c r="H85" s="1"/>
      <c r="I85" s="91">
        <v>6</v>
      </c>
      <c r="O85" t="s">
        <v>2215</v>
      </c>
    </row>
    <row r="86" spans="1:15" x14ac:dyDescent="0.3">
      <c r="A86" s="46" t="s">
        <v>2020</v>
      </c>
      <c r="B86" s="6">
        <v>0.1</v>
      </c>
      <c r="C86" s="6">
        <v>0.1</v>
      </c>
      <c r="D86" s="6"/>
      <c r="E86" s="6"/>
      <c r="F86" s="6"/>
      <c r="G86" s="6"/>
      <c r="H86" s="1"/>
      <c r="I86" s="91">
        <v>7</v>
      </c>
      <c r="O86" t="s">
        <v>2216</v>
      </c>
    </row>
    <row r="87" spans="1:15" x14ac:dyDescent="0.3">
      <c r="A87" s="46" t="s">
        <v>2021</v>
      </c>
      <c r="B87" s="6">
        <v>0.89</v>
      </c>
      <c r="C87" s="6">
        <v>0.89</v>
      </c>
      <c r="D87" s="6"/>
      <c r="E87" s="6"/>
      <c r="F87" s="6"/>
      <c r="G87" s="6"/>
      <c r="H87" s="1"/>
      <c r="I87" s="91">
        <v>8</v>
      </c>
      <c r="O87" t="s">
        <v>2217</v>
      </c>
    </row>
    <row r="88" spans="1:15" x14ac:dyDescent="0.3">
      <c r="A88" s="46" t="s">
        <v>2022</v>
      </c>
      <c r="B88" s="6">
        <v>2.5000000000000001E-3</v>
      </c>
      <c r="C88" s="6">
        <v>2.5000000000000001E-3</v>
      </c>
      <c r="D88" s="6"/>
      <c r="E88" s="6"/>
      <c r="F88" s="6"/>
      <c r="G88" s="6"/>
      <c r="H88" s="1"/>
      <c r="I88" s="91">
        <v>9</v>
      </c>
      <c r="O88" t="s">
        <v>2218</v>
      </c>
    </row>
    <row r="89" spans="1:15" x14ac:dyDescent="0.3">
      <c r="A89" s="46" t="s">
        <v>2023</v>
      </c>
      <c r="B89" s="6">
        <v>6.0000000000000002E-5</v>
      </c>
      <c r="C89" s="6">
        <v>6.0000000000000002E-5</v>
      </c>
      <c r="D89" s="6"/>
      <c r="E89" s="6"/>
      <c r="F89" s="6"/>
      <c r="G89" s="6"/>
      <c r="H89" s="1"/>
      <c r="I89" s="91">
        <v>10</v>
      </c>
      <c r="O89" t="s">
        <v>2219</v>
      </c>
    </row>
    <row r="90" spans="1:15" x14ac:dyDescent="0.3">
      <c r="A90" s="46" t="s">
        <v>2024</v>
      </c>
      <c r="B90" s="6">
        <v>2.73973E-4</v>
      </c>
      <c r="C90" s="6">
        <v>2.73973E-4</v>
      </c>
      <c r="D90" s="6"/>
      <c r="E90" s="6"/>
      <c r="F90" s="6"/>
      <c r="G90" s="6"/>
      <c r="H90" s="1"/>
      <c r="I90" s="91">
        <v>11</v>
      </c>
      <c r="O90" t="s">
        <v>2220</v>
      </c>
    </row>
    <row r="91" spans="1:15" x14ac:dyDescent="0.3">
      <c r="A91" s="46" t="s">
        <v>2277</v>
      </c>
      <c r="B91" s="6">
        <v>0.01</v>
      </c>
      <c r="C91" s="6">
        <v>0.01</v>
      </c>
      <c r="D91" s="6"/>
      <c r="E91" s="6"/>
      <c r="F91" s="6"/>
      <c r="G91" s="6"/>
      <c r="H91" s="1"/>
      <c r="I91" s="91">
        <v>12</v>
      </c>
      <c r="O91" t="s">
        <v>2221</v>
      </c>
    </row>
    <row r="92" spans="1:15" x14ac:dyDescent="0.3">
      <c r="A92" s="46" t="s">
        <v>2025</v>
      </c>
      <c r="B92" s="6">
        <v>1</v>
      </c>
      <c r="C92" s="6">
        <v>1</v>
      </c>
      <c r="D92" s="6"/>
      <c r="E92" s="6"/>
      <c r="F92" s="6"/>
      <c r="G92" s="6"/>
      <c r="H92" s="1"/>
      <c r="I92" s="91">
        <v>13</v>
      </c>
      <c r="O92" t="s">
        <v>2222</v>
      </c>
    </row>
    <row r="93" spans="1:15" x14ac:dyDescent="0.3">
      <c r="A93" s="46" t="s">
        <v>2026</v>
      </c>
      <c r="B93" s="6">
        <v>2</v>
      </c>
      <c r="C93" s="6">
        <v>2</v>
      </c>
      <c r="D93" s="6"/>
      <c r="E93" s="6"/>
      <c r="F93" s="6"/>
      <c r="G93" s="6"/>
      <c r="H93" s="1"/>
      <c r="I93" s="91">
        <v>14</v>
      </c>
      <c r="O93" t="s">
        <v>2223</v>
      </c>
    </row>
    <row r="94" spans="1:15" x14ac:dyDescent="0.3">
      <c r="A94" s="46" t="s">
        <v>2027</v>
      </c>
      <c r="B94" s="6">
        <v>0.3</v>
      </c>
      <c r="C94" s="6">
        <v>0.3</v>
      </c>
      <c r="D94" s="6"/>
      <c r="E94" s="6"/>
      <c r="F94" s="6"/>
      <c r="G94" s="6"/>
      <c r="H94" s="1"/>
      <c r="I94" s="91">
        <v>15</v>
      </c>
      <c r="O94" t="s">
        <v>2224</v>
      </c>
    </row>
    <row r="95" spans="1:15" x14ac:dyDescent="0.3">
      <c r="A95" s="46" t="s">
        <v>2028</v>
      </c>
      <c r="B95" s="6">
        <v>0.3</v>
      </c>
      <c r="C95" s="6">
        <v>0.3</v>
      </c>
      <c r="D95" s="6"/>
      <c r="E95" s="6"/>
      <c r="F95" s="6"/>
      <c r="G95" s="6"/>
      <c r="H95" s="1"/>
      <c r="I95" s="91">
        <v>16</v>
      </c>
      <c r="O95" t="s">
        <v>2225</v>
      </c>
    </row>
    <row r="96" spans="1:15" x14ac:dyDescent="0.3">
      <c r="A96" s="46" t="s">
        <v>2029</v>
      </c>
      <c r="B96" s="6">
        <v>0.1</v>
      </c>
      <c r="C96" s="6">
        <v>0.1</v>
      </c>
      <c r="D96" s="6"/>
      <c r="E96" s="6"/>
      <c r="F96" s="6"/>
      <c r="G96" s="6"/>
      <c r="H96" s="1"/>
      <c r="I96" s="91">
        <v>17</v>
      </c>
      <c r="O96" t="s">
        <v>2226</v>
      </c>
    </row>
    <row r="97" spans="1:15" x14ac:dyDescent="0.3">
      <c r="A97" s="46" t="s">
        <v>2030</v>
      </c>
      <c r="B97" s="6">
        <v>0.1</v>
      </c>
      <c r="C97" s="6">
        <v>0.1</v>
      </c>
      <c r="D97" s="6"/>
      <c r="E97" s="6"/>
      <c r="F97" s="6"/>
      <c r="G97" s="6"/>
      <c r="H97" s="1"/>
      <c r="I97" s="91">
        <v>18</v>
      </c>
      <c r="O97" t="s">
        <v>2227</v>
      </c>
    </row>
    <row r="98" spans="1:15" x14ac:dyDescent="0.3">
      <c r="A98" s="46" t="s">
        <v>2031</v>
      </c>
      <c r="B98" s="6">
        <v>0.1</v>
      </c>
      <c r="C98" s="6">
        <v>0.1</v>
      </c>
      <c r="D98" s="6"/>
      <c r="E98" s="6"/>
      <c r="F98" s="6"/>
      <c r="G98" s="6"/>
      <c r="H98" s="1"/>
      <c r="I98" s="91">
        <v>19</v>
      </c>
      <c r="O98" t="s">
        <v>2228</v>
      </c>
    </row>
    <row r="99" spans="1:15" x14ac:dyDescent="0.3">
      <c r="A99" s="46" t="s">
        <v>2032</v>
      </c>
      <c r="B99" s="6">
        <v>0.7</v>
      </c>
      <c r="C99" s="6">
        <v>0.7</v>
      </c>
      <c r="D99" s="6"/>
      <c r="E99" s="6"/>
      <c r="F99" s="6"/>
      <c r="G99" s="6"/>
      <c r="H99" s="1"/>
      <c r="I99" s="91">
        <v>20</v>
      </c>
      <c r="O99" t="s">
        <v>2229</v>
      </c>
    </row>
    <row r="100" spans="1:15" x14ac:dyDescent="0.3">
      <c r="A100" s="46" t="s">
        <v>2033</v>
      </c>
      <c r="B100" s="6">
        <v>0</v>
      </c>
      <c r="C100" s="6">
        <v>0</v>
      </c>
      <c r="D100" s="6"/>
      <c r="E100" s="6"/>
      <c r="F100" s="6"/>
      <c r="G100" s="6"/>
      <c r="H100" s="1"/>
      <c r="I100" s="91">
        <v>21</v>
      </c>
      <c r="O100" t="s">
        <v>2230</v>
      </c>
    </row>
    <row r="101" spans="1:15" x14ac:dyDescent="0.3">
      <c r="A101" s="46" t="s">
        <v>2034</v>
      </c>
      <c r="B101" s="6">
        <v>0.72799999999999998</v>
      </c>
      <c r="C101" s="6">
        <v>0.72799999999999998</v>
      </c>
      <c r="D101" s="6"/>
      <c r="E101" s="6"/>
      <c r="F101" s="6"/>
      <c r="G101" s="6"/>
      <c r="H101" s="1"/>
      <c r="I101" s="91">
        <v>22</v>
      </c>
      <c r="O101" t="s">
        <v>2231</v>
      </c>
    </row>
    <row r="102" spans="1:15" x14ac:dyDescent="0.3">
      <c r="A102" s="46" t="s">
        <v>2035</v>
      </c>
      <c r="B102" s="6">
        <v>0.37</v>
      </c>
      <c r="C102" s="6">
        <v>0.37</v>
      </c>
      <c r="D102" s="6"/>
      <c r="E102" s="6"/>
      <c r="F102" s="6"/>
      <c r="G102" s="6"/>
      <c r="H102" s="1"/>
      <c r="I102" s="91">
        <v>23</v>
      </c>
      <c r="O102" t="s">
        <v>2232</v>
      </c>
    </row>
    <row r="103" spans="1:15" x14ac:dyDescent="0.3">
      <c r="A103" s="46" t="s">
        <v>2036</v>
      </c>
      <c r="B103" s="6">
        <v>1.08</v>
      </c>
      <c r="C103" s="6">
        <v>1.08</v>
      </c>
      <c r="D103" s="6"/>
      <c r="E103" s="6"/>
      <c r="F103" s="6"/>
      <c r="G103" s="6"/>
      <c r="H103" s="1"/>
      <c r="I103" s="91">
        <v>24</v>
      </c>
      <c r="O103" t="s">
        <v>2233</v>
      </c>
    </row>
    <row r="104" spans="1:15" x14ac:dyDescent="0.3">
      <c r="A104" s="46" t="s">
        <v>2037</v>
      </c>
      <c r="B104" s="6">
        <v>1</v>
      </c>
      <c r="C104" s="6">
        <v>1</v>
      </c>
      <c r="D104" s="6"/>
      <c r="E104" s="6"/>
      <c r="F104" s="6"/>
      <c r="G104" s="6"/>
      <c r="H104" s="1"/>
      <c r="I104" s="91">
        <v>25</v>
      </c>
      <c r="O104" t="s">
        <v>2234</v>
      </c>
    </row>
    <row r="105" spans="1:15" x14ac:dyDescent="0.3">
      <c r="A105" s="46" t="s">
        <v>2038</v>
      </c>
      <c r="B105" s="6">
        <v>1.123</v>
      </c>
      <c r="C105" s="6">
        <v>1.123</v>
      </c>
      <c r="D105" s="6"/>
      <c r="E105" s="6"/>
      <c r="F105" s="6"/>
      <c r="G105" s="6"/>
      <c r="H105" s="1"/>
      <c r="I105" s="91">
        <v>26</v>
      </c>
      <c r="O105" t="s">
        <v>2235</v>
      </c>
    </row>
    <row r="106" spans="1:15" x14ac:dyDescent="0.3">
      <c r="A106" s="46" t="s">
        <v>2039</v>
      </c>
      <c r="B106" s="6">
        <v>1.08</v>
      </c>
      <c r="C106" s="6">
        <v>1.08</v>
      </c>
      <c r="D106" s="6"/>
      <c r="E106" s="6"/>
      <c r="F106" s="6"/>
      <c r="G106" s="6"/>
      <c r="H106" s="1"/>
      <c r="I106" s="91">
        <v>27</v>
      </c>
      <c r="O106" t="s">
        <v>2236</v>
      </c>
    </row>
    <row r="107" spans="1:15" x14ac:dyDescent="0.3">
      <c r="A107" s="46" t="s">
        <v>2040</v>
      </c>
      <c r="B107" s="6">
        <v>1.079</v>
      </c>
      <c r="C107" s="6">
        <v>1.079</v>
      </c>
      <c r="D107" s="6"/>
      <c r="E107" s="6"/>
      <c r="F107" s="6"/>
      <c r="G107" s="6"/>
      <c r="H107" s="1"/>
      <c r="I107" s="91">
        <v>28</v>
      </c>
      <c r="O107" t="s">
        <v>2237</v>
      </c>
    </row>
    <row r="108" spans="1:15" x14ac:dyDescent="0.3">
      <c r="A108" s="46" t="s">
        <v>2041</v>
      </c>
      <c r="B108" s="6">
        <v>20</v>
      </c>
      <c r="C108" s="6">
        <v>20</v>
      </c>
      <c r="D108" s="6"/>
      <c r="E108" s="6"/>
      <c r="F108" s="6"/>
      <c r="G108" s="6"/>
      <c r="H108" s="1"/>
      <c r="I108" s="91">
        <v>29</v>
      </c>
      <c r="O108" t="s">
        <v>2238</v>
      </c>
    </row>
    <row r="109" spans="1:15" x14ac:dyDescent="0.3">
      <c r="A109" s="46" t="s">
        <v>2042</v>
      </c>
      <c r="B109" s="6">
        <v>0.2</v>
      </c>
      <c r="C109" s="6">
        <v>0.2</v>
      </c>
      <c r="D109" s="6"/>
      <c r="E109" s="6"/>
      <c r="F109" s="6"/>
      <c r="G109" s="6"/>
      <c r="H109" s="1"/>
      <c r="I109" s="91">
        <v>30</v>
      </c>
      <c r="O109" t="s">
        <v>2239</v>
      </c>
    </row>
    <row r="110" spans="1:15" x14ac:dyDescent="0.3">
      <c r="A110" s="46" t="s">
        <v>2043</v>
      </c>
      <c r="B110" s="6">
        <v>1.079</v>
      </c>
      <c r="C110" s="6">
        <v>1.079</v>
      </c>
      <c r="D110" s="6"/>
      <c r="E110" s="6"/>
      <c r="F110" s="6"/>
      <c r="G110" s="6"/>
      <c r="H110" s="1"/>
      <c r="I110" s="91">
        <v>31</v>
      </c>
      <c r="O110" t="s">
        <v>2240</v>
      </c>
    </row>
    <row r="111" spans="1:15" x14ac:dyDescent="0.3">
      <c r="A111" s="46" t="s">
        <v>2044</v>
      </c>
      <c r="B111" s="6">
        <v>4</v>
      </c>
      <c r="C111" s="6">
        <v>4</v>
      </c>
      <c r="D111" s="6"/>
      <c r="E111" s="6"/>
      <c r="F111" s="6"/>
      <c r="G111" s="6"/>
      <c r="H111" s="1"/>
      <c r="I111" s="91">
        <v>32</v>
      </c>
      <c r="O111" t="s">
        <v>2241</v>
      </c>
    </row>
    <row r="112" spans="1:15" x14ac:dyDescent="0.3">
      <c r="A112" s="46" t="s">
        <v>2045</v>
      </c>
      <c r="B112" s="6">
        <v>3.5000000000000003E-2</v>
      </c>
      <c r="C112" s="6">
        <v>3.5000000000000003E-2</v>
      </c>
      <c r="D112" s="6"/>
      <c r="E112" s="6"/>
      <c r="F112" s="6"/>
      <c r="G112" s="6"/>
      <c r="H112" s="1"/>
      <c r="I112" s="91">
        <v>33</v>
      </c>
      <c r="O112" t="s">
        <v>2242</v>
      </c>
    </row>
    <row r="113" spans="1:15" x14ac:dyDescent="0.3">
      <c r="A113" s="46" t="s">
        <v>2046</v>
      </c>
      <c r="B113" s="6">
        <v>1.8E-3</v>
      </c>
      <c r="C113" s="6">
        <v>1.8E-3</v>
      </c>
      <c r="D113" s="6"/>
      <c r="E113" s="6"/>
      <c r="F113" s="6"/>
      <c r="G113" s="6"/>
      <c r="H113" s="1"/>
      <c r="I113" s="91">
        <v>34</v>
      </c>
      <c r="O113" t="s">
        <v>2243</v>
      </c>
    </row>
    <row r="114" spans="1:15" x14ac:dyDescent="0.3">
      <c r="A114" s="46" t="s">
        <v>2047</v>
      </c>
      <c r="B114" s="6">
        <v>0</v>
      </c>
      <c r="C114" s="6">
        <v>0</v>
      </c>
      <c r="D114" s="6"/>
      <c r="E114" s="6"/>
      <c r="F114" s="6"/>
      <c r="G114" s="6"/>
      <c r="H114" s="1"/>
      <c r="I114" s="91">
        <v>35</v>
      </c>
      <c r="O114" t="s">
        <v>2244</v>
      </c>
    </row>
    <row r="115" spans="1:15" x14ac:dyDescent="0.3">
      <c r="A115" s="46" t="s">
        <v>2048</v>
      </c>
      <c r="B115" s="6">
        <v>3.5000000000000003E-2</v>
      </c>
      <c r="C115" s="6">
        <v>3.5000000000000003E-2</v>
      </c>
      <c r="D115" s="6"/>
      <c r="E115" s="6"/>
      <c r="F115" s="6"/>
      <c r="G115" s="6"/>
      <c r="H115" s="1"/>
      <c r="I115" s="91">
        <v>36</v>
      </c>
      <c r="O115" t="s">
        <v>2245</v>
      </c>
    </row>
    <row r="116" spans="1:15" x14ac:dyDescent="0.3">
      <c r="A116" s="46" t="s">
        <v>2049</v>
      </c>
      <c r="B116" s="6">
        <v>1.8E-3</v>
      </c>
      <c r="C116" s="6">
        <v>1.8E-3</v>
      </c>
      <c r="D116" s="6"/>
      <c r="E116" s="6"/>
      <c r="F116" s="6"/>
      <c r="G116" s="6"/>
      <c r="H116" s="1"/>
      <c r="I116" s="91">
        <v>37</v>
      </c>
      <c r="O116" t="s">
        <v>2246</v>
      </c>
    </row>
    <row r="117" spans="1:15" x14ac:dyDescent="0.3">
      <c r="A117" s="46" t="s">
        <v>2050</v>
      </c>
      <c r="B117" s="6">
        <v>0</v>
      </c>
      <c r="C117" s="6">
        <v>0</v>
      </c>
      <c r="D117" s="6"/>
      <c r="E117" s="6"/>
      <c r="F117" s="6"/>
      <c r="G117" s="6"/>
      <c r="H117" s="1"/>
      <c r="I117" s="91">
        <v>38</v>
      </c>
      <c r="O117" t="s">
        <v>2247</v>
      </c>
    </row>
    <row r="118" spans="1:15" x14ac:dyDescent="0.3">
      <c r="A118" s="46" t="s">
        <v>2051</v>
      </c>
      <c r="B118" s="6">
        <v>3.5000000000000003E-2</v>
      </c>
      <c r="C118" s="6">
        <v>3.5000000000000003E-2</v>
      </c>
      <c r="D118" s="6"/>
      <c r="E118" s="6"/>
      <c r="F118" s="6"/>
      <c r="G118" s="6"/>
      <c r="H118" s="1"/>
      <c r="I118" s="91">
        <v>39</v>
      </c>
      <c r="O118" t="s">
        <v>2248</v>
      </c>
    </row>
    <row r="119" spans="1:15" x14ac:dyDescent="0.3">
      <c r="A119" s="46" t="s">
        <v>2052</v>
      </c>
      <c r="B119" s="6">
        <v>1.8E-3</v>
      </c>
      <c r="C119" s="6">
        <v>1.8E-3</v>
      </c>
      <c r="D119" s="6"/>
      <c r="E119" s="6"/>
      <c r="F119" s="6"/>
      <c r="G119" s="6"/>
      <c r="H119" s="1"/>
      <c r="I119" s="91">
        <v>40</v>
      </c>
      <c r="O119" t="s">
        <v>2249</v>
      </c>
    </row>
    <row r="120" spans="1:15" x14ac:dyDescent="0.3">
      <c r="A120" s="46" t="s">
        <v>2053</v>
      </c>
      <c r="B120" s="6">
        <v>0</v>
      </c>
      <c r="C120" s="6">
        <v>0</v>
      </c>
      <c r="D120" s="6"/>
      <c r="E120" s="6"/>
      <c r="F120" s="6"/>
      <c r="G120" s="6"/>
      <c r="H120" s="1"/>
      <c r="I120" s="91">
        <v>41</v>
      </c>
      <c r="O120" t="s">
        <v>2250</v>
      </c>
    </row>
    <row r="121" spans="1:15" x14ac:dyDescent="0.3">
      <c r="A121" s="46" t="s">
        <v>2054</v>
      </c>
      <c r="B121" s="6">
        <v>1.1000000000000001</v>
      </c>
      <c r="C121" s="6">
        <v>1.1000000000000001</v>
      </c>
      <c r="D121" s="6"/>
      <c r="E121" s="6"/>
      <c r="F121" s="6"/>
      <c r="G121" s="6"/>
      <c r="H121" s="1"/>
      <c r="I121" s="91">
        <v>42</v>
      </c>
      <c r="O121" t="s">
        <v>2251</v>
      </c>
    </row>
    <row r="122" spans="1:15" x14ac:dyDescent="0.3">
      <c r="A122" s="46" t="s">
        <v>2055</v>
      </c>
      <c r="B122" s="6">
        <v>1.1499999999999999</v>
      </c>
      <c r="C122" s="6">
        <v>1.1499999999999999</v>
      </c>
      <c r="D122" s="6"/>
      <c r="E122" s="6"/>
      <c r="F122" s="6"/>
      <c r="G122" s="6"/>
      <c r="H122" s="1"/>
      <c r="I122" s="91">
        <v>43</v>
      </c>
      <c r="O122" t="s">
        <v>2252</v>
      </c>
    </row>
    <row r="123" spans="1:15" x14ac:dyDescent="0.3">
      <c r="A123" s="46" t="s">
        <v>2056</v>
      </c>
      <c r="B123" s="6">
        <v>1</v>
      </c>
      <c r="C123" s="6">
        <v>1</v>
      </c>
      <c r="D123" s="6"/>
      <c r="E123" s="6"/>
      <c r="F123" s="6"/>
      <c r="G123" s="6"/>
      <c r="H123" s="1"/>
      <c r="I123" s="91">
        <v>44</v>
      </c>
      <c r="O123" t="s">
        <v>2253</v>
      </c>
    </row>
    <row r="124" spans="1:15" x14ac:dyDescent="0.3">
      <c r="A124" s="46" t="s">
        <v>2057</v>
      </c>
      <c r="B124" s="6">
        <v>1.1000000000000001</v>
      </c>
      <c r="C124" s="6">
        <v>1.1000000000000001</v>
      </c>
      <c r="D124" s="6"/>
      <c r="E124" s="6"/>
      <c r="F124" s="6"/>
      <c r="G124" s="6"/>
      <c r="H124" s="1"/>
      <c r="I124" s="91">
        <v>45</v>
      </c>
      <c r="O124" t="s">
        <v>2254</v>
      </c>
    </row>
    <row r="125" spans="1:15" x14ac:dyDescent="0.3">
      <c r="A125" s="46" t="s">
        <v>2058</v>
      </c>
      <c r="B125" s="6">
        <v>1.1499999999999999</v>
      </c>
      <c r="C125" s="6">
        <v>1.1499999999999999</v>
      </c>
      <c r="D125" s="6"/>
      <c r="E125" s="6"/>
      <c r="F125" s="6"/>
      <c r="G125" s="6"/>
      <c r="H125" s="1"/>
      <c r="I125" s="91">
        <v>46</v>
      </c>
      <c r="O125" t="s">
        <v>2255</v>
      </c>
    </row>
    <row r="126" spans="1:15" x14ac:dyDescent="0.3">
      <c r="A126" s="46" t="s">
        <v>2059</v>
      </c>
      <c r="B126" s="6">
        <v>1</v>
      </c>
      <c r="C126" s="6">
        <v>1</v>
      </c>
      <c r="D126" s="6"/>
      <c r="E126" s="6"/>
      <c r="F126" s="6"/>
      <c r="G126" s="6"/>
      <c r="H126" s="1"/>
      <c r="I126" s="91">
        <v>47</v>
      </c>
      <c r="O126" t="s">
        <v>2256</v>
      </c>
    </row>
    <row r="127" spans="1:15" x14ac:dyDescent="0.3">
      <c r="A127" s="46" t="s">
        <v>2060</v>
      </c>
      <c r="B127" s="6">
        <v>1.1000000000000001</v>
      </c>
      <c r="C127" s="6">
        <v>1.1000000000000001</v>
      </c>
      <c r="D127" s="6"/>
      <c r="E127" s="6"/>
      <c r="F127" s="6"/>
      <c r="G127" s="6"/>
      <c r="H127" s="1"/>
      <c r="I127" s="91">
        <v>48</v>
      </c>
      <c r="O127" t="s">
        <v>2257</v>
      </c>
    </row>
    <row r="128" spans="1:15" x14ac:dyDescent="0.3">
      <c r="A128" s="46" t="s">
        <v>2061</v>
      </c>
      <c r="B128" s="6">
        <v>1.1499999999999999</v>
      </c>
      <c r="C128" s="6">
        <v>1.1499999999999999</v>
      </c>
      <c r="D128" s="6"/>
      <c r="E128" s="6"/>
      <c r="F128" s="6"/>
      <c r="G128" s="6"/>
      <c r="H128" s="1"/>
      <c r="I128" s="91">
        <v>49</v>
      </c>
      <c r="O128" t="s">
        <v>2258</v>
      </c>
    </row>
    <row r="129" spans="1:15" x14ac:dyDescent="0.3">
      <c r="A129" s="46" t="s">
        <v>2062</v>
      </c>
      <c r="B129" s="6">
        <v>1</v>
      </c>
      <c r="C129" s="6">
        <v>1</v>
      </c>
      <c r="D129" s="6"/>
      <c r="E129" s="6"/>
      <c r="F129" s="6"/>
      <c r="G129" s="6"/>
      <c r="H129" s="1"/>
      <c r="I129" s="91">
        <v>50</v>
      </c>
      <c r="O129" t="s">
        <v>2259</v>
      </c>
    </row>
    <row r="130" spans="1:15" x14ac:dyDescent="0.3">
      <c r="A130" s="46" t="s">
        <v>2063</v>
      </c>
      <c r="B130" s="6">
        <v>0.02</v>
      </c>
      <c r="C130" s="6">
        <v>0.02</v>
      </c>
      <c r="D130" s="6"/>
      <c r="E130" s="6"/>
      <c r="F130" s="6"/>
      <c r="G130" s="6"/>
      <c r="H130" s="1"/>
      <c r="I130" s="91">
        <v>51</v>
      </c>
      <c r="O130" t="s">
        <v>2260</v>
      </c>
    </row>
    <row r="131" spans="1:15" x14ac:dyDescent="0.3">
      <c r="A131" s="46" t="s">
        <v>2064</v>
      </c>
      <c r="B131" s="6">
        <v>0</v>
      </c>
      <c r="C131" s="6">
        <v>0</v>
      </c>
      <c r="D131" s="6"/>
      <c r="E131" s="6"/>
      <c r="F131" s="6"/>
      <c r="G131" s="6"/>
      <c r="H131" s="1"/>
      <c r="I131" s="91">
        <v>52</v>
      </c>
      <c r="O131" t="s">
        <v>2261</v>
      </c>
    </row>
    <row r="132" spans="1:15" x14ac:dyDescent="0.3">
      <c r="A132" s="46" t="s">
        <v>2065</v>
      </c>
      <c r="B132" s="6">
        <v>0.01</v>
      </c>
      <c r="C132" s="6">
        <v>0.01</v>
      </c>
      <c r="D132" s="6"/>
      <c r="E132" s="6"/>
      <c r="F132" s="6"/>
      <c r="G132" s="6"/>
      <c r="H132" s="1"/>
      <c r="I132" s="91">
        <v>53</v>
      </c>
      <c r="O132" t="s">
        <v>2262</v>
      </c>
    </row>
    <row r="133" spans="1:15" x14ac:dyDescent="0.3">
      <c r="A133" s="46" t="s">
        <v>2066</v>
      </c>
      <c r="B133" s="6">
        <v>1E-3</v>
      </c>
      <c r="C133" s="6">
        <v>1E-3</v>
      </c>
      <c r="D133" s="6"/>
      <c r="E133" s="6"/>
      <c r="F133" s="6"/>
      <c r="G133" s="6"/>
      <c r="H133" s="1"/>
      <c r="I133" s="91">
        <v>54</v>
      </c>
      <c r="O133" t="s">
        <v>2263</v>
      </c>
    </row>
    <row r="134" spans="1:15" x14ac:dyDescent="0.3">
      <c r="A134" s="46" t="s">
        <v>2067</v>
      </c>
      <c r="B134" s="6">
        <v>1E-3</v>
      </c>
      <c r="C134" s="6">
        <v>1E-3</v>
      </c>
      <c r="D134" s="6"/>
      <c r="E134" s="6"/>
      <c r="F134" s="6"/>
      <c r="G134" s="6"/>
      <c r="H134" s="1"/>
      <c r="I134" s="91">
        <v>55</v>
      </c>
      <c r="O134" t="s">
        <v>2264</v>
      </c>
    </row>
    <row r="135" spans="1:15" x14ac:dyDescent="0.3">
      <c r="A135" s="46" t="s">
        <v>2068</v>
      </c>
      <c r="B135" s="6">
        <v>0.1</v>
      </c>
      <c r="C135" s="6">
        <v>0.1</v>
      </c>
      <c r="D135" s="6"/>
      <c r="E135" s="6"/>
      <c r="F135" s="6"/>
      <c r="G135" s="6"/>
      <c r="H135" s="1"/>
      <c r="I135" s="91">
        <v>56</v>
      </c>
      <c r="O135" t="s">
        <v>2265</v>
      </c>
    </row>
    <row r="136" spans="1:15" x14ac:dyDescent="0.3">
      <c r="A136" s="46" t="s">
        <v>2069</v>
      </c>
      <c r="B136" s="6">
        <v>0.1</v>
      </c>
      <c r="C136" s="6">
        <v>0.1</v>
      </c>
      <c r="D136" s="6"/>
      <c r="E136" s="6"/>
      <c r="F136" s="6"/>
      <c r="G136" s="6"/>
      <c r="H136" s="1"/>
      <c r="I136" s="91">
        <v>57</v>
      </c>
      <c r="O136" t="s">
        <v>2266</v>
      </c>
    </row>
    <row r="137" spans="1:15" ht="28.8" x14ac:dyDescent="0.3">
      <c r="A137" s="90" t="s">
        <v>2279</v>
      </c>
      <c r="B137" s="6">
        <v>1</v>
      </c>
      <c r="C137" s="6">
        <v>0</v>
      </c>
      <c r="D137" s="6"/>
      <c r="E137" s="6"/>
      <c r="F137" s="6"/>
      <c r="G137" s="6"/>
      <c r="H137" s="1"/>
      <c r="I137" s="91">
        <v>58</v>
      </c>
      <c r="O137" t="s">
        <v>2267</v>
      </c>
    </row>
    <row r="138" spans="1:15" x14ac:dyDescent="0.3">
      <c r="A138" s="12" t="s">
        <v>2121</v>
      </c>
      <c r="B138" s="6">
        <v>5.0000000000000002E-5</v>
      </c>
      <c r="C138" s="6">
        <v>5.0000000000000002E-5</v>
      </c>
      <c r="D138" s="6"/>
      <c r="E138" s="6"/>
      <c r="F138" s="6"/>
      <c r="G138" s="6"/>
      <c r="H138" s="1"/>
      <c r="I138" s="91">
        <v>59</v>
      </c>
      <c r="O138" t="s">
        <v>2268</v>
      </c>
    </row>
    <row r="139" spans="1:15" x14ac:dyDescent="0.3">
      <c r="A139" s="12" t="s">
        <v>2122</v>
      </c>
      <c r="B139" s="6">
        <v>0.01</v>
      </c>
      <c r="C139" s="6">
        <v>0.01</v>
      </c>
      <c r="D139" s="6"/>
      <c r="E139" s="6"/>
      <c r="F139" s="6"/>
      <c r="G139" s="6"/>
      <c r="H139" s="1"/>
      <c r="I139" s="91">
        <v>60</v>
      </c>
      <c r="O139" t="s">
        <v>2269</v>
      </c>
    </row>
    <row r="140" spans="1:15" x14ac:dyDescent="0.3">
      <c r="A140" s="12" t="s">
        <v>2123</v>
      </c>
      <c r="B140" s="6">
        <v>5.0000000000000002E-5</v>
      </c>
      <c r="C140" s="6">
        <v>5.0000000000000002E-5</v>
      </c>
      <c r="D140" s="6"/>
      <c r="E140" s="6"/>
      <c r="F140" s="6"/>
      <c r="G140" s="6"/>
      <c r="H140" s="1"/>
      <c r="I140" s="91">
        <v>61</v>
      </c>
      <c r="O140" t="s">
        <v>2270</v>
      </c>
    </row>
    <row r="141" spans="1:15" x14ac:dyDescent="0.3">
      <c r="A141" s="12" t="s">
        <v>2124</v>
      </c>
      <c r="B141" s="6">
        <v>0.01</v>
      </c>
      <c r="C141" s="6">
        <v>0.01</v>
      </c>
      <c r="D141" s="6"/>
      <c r="E141" s="6"/>
      <c r="F141" s="6"/>
      <c r="G141" s="6"/>
      <c r="H141" s="1"/>
      <c r="I141" s="91">
        <v>62</v>
      </c>
      <c r="O141" t="s">
        <v>2271</v>
      </c>
    </row>
    <row r="142" spans="1:15" x14ac:dyDescent="0.3">
      <c r="A142" s="46" t="s">
        <v>2070</v>
      </c>
      <c r="B142" s="6" t="s">
        <v>1991</v>
      </c>
      <c r="C142" s="46"/>
      <c r="D142" s="46"/>
      <c r="E142" s="46"/>
      <c r="F142" s="46"/>
      <c r="O142" t="s">
        <v>2272</v>
      </c>
    </row>
    <row r="143" spans="1:15" x14ac:dyDescent="0.3">
      <c r="A143" s="46" t="s">
        <v>2071</v>
      </c>
      <c r="B143" s="6">
        <v>1</v>
      </c>
      <c r="C143" s="46"/>
      <c r="D143" s="46"/>
      <c r="E143" s="46"/>
      <c r="F143" s="46"/>
      <c r="O143" t="s">
        <v>2273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1468</v>
      </c>
      <c r="B1" s="16"/>
      <c r="C1" s="16"/>
      <c r="D1" s="16"/>
      <c r="E1" s="16"/>
      <c r="F1" s="16"/>
      <c r="G1" s="16"/>
      <c r="H1" s="16"/>
      <c r="I1" s="16"/>
      <c r="J1" s="16"/>
      <c r="K1" s="16"/>
    </row>
    <row r="2" spans="1:13" x14ac:dyDescent="0.3">
      <c r="A2" s="16" t="s">
        <v>1490</v>
      </c>
      <c r="B2" s="16" t="s">
        <v>1491</v>
      </c>
      <c r="C2" s="16" t="s">
        <v>1492</v>
      </c>
      <c r="D2" s="16"/>
      <c r="E2" s="16"/>
      <c r="F2" s="16"/>
      <c r="G2" s="16"/>
      <c r="H2" s="16"/>
      <c r="I2" s="16"/>
      <c r="J2" s="16"/>
      <c r="K2" s="16"/>
      <c r="M2" t="s">
        <v>1832</v>
      </c>
    </row>
    <row r="3" spans="1:13" x14ac:dyDescent="0.3">
      <c r="A3" s="6">
        <v>1</v>
      </c>
      <c r="B3" s="6" t="s">
        <v>1469</v>
      </c>
      <c r="C3" s="16"/>
      <c r="D3" s="16"/>
      <c r="E3" s="16"/>
      <c r="F3" s="16"/>
      <c r="G3" s="16"/>
      <c r="H3" s="16"/>
      <c r="I3" s="16"/>
      <c r="J3" s="16"/>
      <c r="K3" s="16"/>
      <c r="M3" s="71" t="s">
        <v>1831</v>
      </c>
    </row>
    <row r="4" spans="1:13" x14ac:dyDescent="0.3">
      <c r="A4" s="16"/>
      <c r="B4" s="16" t="s">
        <v>1481</v>
      </c>
      <c r="C4" s="16" t="s">
        <v>1482</v>
      </c>
      <c r="D4" s="16" t="s">
        <v>1483</v>
      </c>
      <c r="E4" s="16" t="s">
        <v>1484</v>
      </c>
      <c r="F4" s="16" t="s">
        <v>1485</v>
      </c>
      <c r="G4" s="16" t="s">
        <v>1486</v>
      </c>
      <c r="H4" s="16" t="s">
        <v>1487</v>
      </c>
      <c r="I4" s="16" t="s">
        <v>1487</v>
      </c>
      <c r="J4" s="16" t="s">
        <v>1488</v>
      </c>
      <c r="K4" s="16" t="s">
        <v>1489</v>
      </c>
    </row>
    <row r="5" spans="1:13" x14ac:dyDescent="0.3">
      <c r="A5" s="16" t="s">
        <v>1470</v>
      </c>
      <c r="B5" s="16" t="s">
        <v>1471</v>
      </c>
      <c r="C5" s="16" t="s">
        <v>1472</v>
      </c>
      <c r="D5" s="16" t="s">
        <v>1473</v>
      </c>
      <c r="E5" s="16" t="s">
        <v>1474</v>
      </c>
      <c r="F5" s="16" t="s">
        <v>1475</v>
      </c>
      <c r="G5" s="16" t="s">
        <v>1476</v>
      </c>
      <c r="H5" s="16" t="s">
        <v>1477</v>
      </c>
      <c r="I5" s="16" t="s">
        <v>1478</v>
      </c>
      <c r="J5" s="16" t="s">
        <v>1479</v>
      </c>
      <c r="K5" s="16" t="s">
        <v>1480</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1494</v>
      </c>
      <c r="B1" s="12"/>
      <c r="C1" s="12"/>
      <c r="D1" s="12"/>
      <c r="E1" s="12"/>
      <c r="F1" s="12"/>
      <c r="G1" s="12"/>
      <c r="H1" s="12"/>
      <c r="I1" s="12"/>
      <c r="J1" s="12"/>
      <c r="K1" s="13"/>
    </row>
    <row r="2" spans="1:17" x14ac:dyDescent="0.3">
      <c r="A2" s="12" t="s">
        <v>2436</v>
      </c>
      <c r="B2" s="12" t="s">
        <v>1511</v>
      </c>
      <c r="C2" s="12" t="s">
        <v>12</v>
      </c>
      <c r="D2" s="12" t="s">
        <v>1495</v>
      </c>
      <c r="E2" s="12" t="s">
        <v>1496</v>
      </c>
      <c r="F2" s="12" t="s">
        <v>2438</v>
      </c>
      <c r="G2" s="12" t="s">
        <v>2439</v>
      </c>
      <c r="H2" s="12" t="s">
        <v>2440</v>
      </c>
      <c r="I2" s="12" t="s">
        <v>2441</v>
      </c>
      <c r="J2" s="12" t="s">
        <v>2442</v>
      </c>
      <c r="K2" s="12" t="s">
        <v>2443</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2437</v>
      </c>
      <c r="B4" s="12"/>
      <c r="C4" s="12"/>
      <c r="D4" s="12"/>
      <c r="E4" s="12"/>
      <c r="F4" s="12"/>
      <c r="G4" s="12"/>
      <c r="H4" s="12"/>
      <c r="I4" s="12"/>
      <c r="J4" s="12"/>
      <c r="K4" s="13"/>
    </row>
    <row r="5" spans="1:17" x14ac:dyDescent="0.3">
      <c r="A5" s="12" t="s">
        <v>1497</v>
      </c>
      <c r="B5" s="12" t="s">
        <v>1498</v>
      </c>
      <c r="C5" s="12" t="s">
        <v>1499</v>
      </c>
      <c r="D5" s="12" t="s">
        <v>1500</v>
      </c>
      <c r="E5" s="12" t="s">
        <v>1501</v>
      </c>
      <c r="F5" s="12" t="s">
        <v>1502</v>
      </c>
      <c r="G5" s="12" t="s">
        <v>1503</v>
      </c>
      <c r="H5" s="12" t="s">
        <v>1504</v>
      </c>
      <c r="I5" s="12" t="s">
        <v>1505</v>
      </c>
      <c r="J5" s="12"/>
      <c r="K5" s="13"/>
    </row>
    <row r="6" spans="1:17" x14ac:dyDescent="0.3">
      <c r="A6" s="6" t="s">
        <v>17</v>
      </c>
      <c r="B6" s="6">
        <v>0.05</v>
      </c>
      <c r="C6" s="6">
        <v>0.5</v>
      </c>
      <c r="D6" s="6" t="s">
        <v>1506</v>
      </c>
      <c r="E6" s="6">
        <v>1</v>
      </c>
      <c r="F6" s="6">
        <v>30</v>
      </c>
      <c r="G6" s="6" t="s">
        <v>17</v>
      </c>
      <c r="H6" s="6">
        <v>10</v>
      </c>
      <c r="I6" s="6">
        <v>120</v>
      </c>
      <c r="J6" s="12"/>
      <c r="K6" s="13"/>
    </row>
    <row r="7" spans="1:17" x14ac:dyDescent="0.3">
      <c r="A7" s="12"/>
      <c r="B7" s="12"/>
      <c r="C7" s="12"/>
      <c r="D7" s="12"/>
      <c r="E7" s="12"/>
      <c r="F7" s="12"/>
      <c r="G7" s="12"/>
      <c r="H7" s="12"/>
      <c r="I7" s="12"/>
      <c r="J7" s="12"/>
      <c r="K7" s="13"/>
      <c r="O7" s="6" t="s">
        <v>1119</v>
      </c>
    </row>
    <row r="8" spans="1:17" x14ac:dyDescent="0.3">
      <c r="A8" s="12" t="s">
        <v>1507</v>
      </c>
      <c r="B8" s="12" t="s">
        <v>1508</v>
      </c>
      <c r="C8" s="12" t="s">
        <v>1509</v>
      </c>
      <c r="D8" s="12" t="s">
        <v>1510</v>
      </c>
      <c r="E8" s="12"/>
      <c r="F8" s="12"/>
      <c r="G8" s="12"/>
      <c r="H8" s="12"/>
      <c r="I8" s="12"/>
      <c r="J8" s="12"/>
      <c r="K8" s="13"/>
      <c r="O8" s="6" t="s">
        <v>1120</v>
      </c>
    </row>
    <row r="9" spans="1:17" x14ac:dyDescent="0.3">
      <c r="A9" s="6" t="s">
        <v>1119</v>
      </c>
      <c r="B9" s="5" t="s">
        <v>17</v>
      </c>
      <c r="C9" s="5">
        <v>1</v>
      </c>
      <c r="D9" s="5">
        <v>20</v>
      </c>
      <c r="E9" s="12"/>
      <c r="F9" s="12"/>
      <c r="G9" s="12"/>
      <c r="H9" s="12"/>
      <c r="I9" s="12"/>
      <c r="J9" s="12"/>
      <c r="K9" s="13"/>
      <c r="O9" s="6" t="s">
        <v>1121</v>
      </c>
      <c r="Q9" s="105" t="s">
        <v>1515</v>
      </c>
    </row>
    <row r="10" spans="1:17" x14ac:dyDescent="0.3">
      <c r="A10" s="6" t="s">
        <v>1120</v>
      </c>
      <c r="B10" s="5" t="s">
        <v>2</v>
      </c>
      <c r="C10" s="5">
        <v>1</v>
      </c>
      <c r="D10" s="5">
        <v>20</v>
      </c>
      <c r="E10" s="12"/>
      <c r="F10" s="12"/>
      <c r="G10" s="12"/>
      <c r="H10" s="12"/>
      <c r="I10" s="12"/>
      <c r="J10" s="12"/>
      <c r="K10" s="13"/>
      <c r="O10" s="6" t="s">
        <v>1122</v>
      </c>
      <c r="Q10" s="105" t="s">
        <v>1516</v>
      </c>
    </row>
    <row r="11" spans="1:17" x14ac:dyDescent="0.3">
      <c r="A11" s="6" t="s">
        <v>1121</v>
      </c>
      <c r="B11" s="5" t="s">
        <v>2</v>
      </c>
      <c r="C11" s="5">
        <v>1</v>
      </c>
      <c r="D11" s="5">
        <v>20</v>
      </c>
      <c r="E11" s="12"/>
      <c r="F11" s="12"/>
      <c r="G11" s="12"/>
      <c r="H11" s="12"/>
      <c r="I11" s="12"/>
      <c r="J11" s="12"/>
      <c r="K11" s="13"/>
      <c r="O11" s="6" t="s">
        <v>1123</v>
      </c>
      <c r="Q11" s="105" t="s">
        <v>1517</v>
      </c>
    </row>
    <row r="12" spans="1:17" x14ac:dyDescent="0.3">
      <c r="A12" s="6" t="s">
        <v>1122</v>
      </c>
      <c r="B12" s="5" t="s">
        <v>2</v>
      </c>
      <c r="C12" s="5">
        <v>1</v>
      </c>
      <c r="D12" s="5">
        <v>20</v>
      </c>
      <c r="E12" s="12"/>
      <c r="F12" s="12"/>
      <c r="G12" s="12"/>
      <c r="H12" s="12"/>
      <c r="I12" s="12"/>
      <c r="J12" s="12"/>
      <c r="K12" s="13"/>
      <c r="O12" s="14" t="s">
        <v>1735</v>
      </c>
      <c r="Q12" t="s">
        <v>1816</v>
      </c>
    </row>
    <row r="13" spans="1:17" x14ac:dyDescent="0.3">
      <c r="A13" s="6" t="s">
        <v>1123</v>
      </c>
      <c r="B13" s="5" t="s">
        <v>2</v>
      </c>
      <c r="C13" s="5">
        <v>1</v>
      </c>
      <c r="D13" s="5">
        <v>20</v>
      </c>
      <c r="E13" s="12"/>
      <c r="F13" s="12"/>
      <c r="G13" s="12"/>
      <c r="H13" s="12"/>
      <c r="I13" s="12"/>
      <c r="J13" s="12"/>
      <c r="K13" s="13"/>
      <c r="O13" s="14" t="s">
        <v>1736</v>
      </c>
      <c r="Q13" s="20">
        <f>'Required Constituent Order'!B68</f>
        <v>42</v>
      </c>
    </row>
    <row r="14" spans="1:17" x14ac:dyDescent="0.3">
      <c r="A14" s="14" t="s">
        <v>1735</v>
      </c>
      <c r="B14" s="5" t="s">
        <v>17</v>
      </c>
      <c r="C14" s="5">
        <v>1</v>
      </c>
      <c r="D14" s="5">
        <v>20</v>
      </c>
      <c r="E14" s="12"/>
      <c r="F14" s="12"/>
      <c r="G14" s="12"/>
      <c r="H14" s="12"/>
      <c r="I14" s="12"/>
      <c r="J14" s="12"/>
      <c r="K14" s="13"/>
      <c r="O14" s="6" t="s">
        <v>1737</v>
      </c>
    </row>
    <row r="15" spans="1:17" x14ac:dyDescent="0.3">
      <c r="A15" s="14" t="s">
        <v>1736</v>
      </c>
      <c r="B15" s="5" t="s">
        <v>17</v>
      </c>
      <c r="C15" s="5">
        <v>1</v>
      </c>
      <c r="D15" s="5">
        <v>20</v>
      </c>
      <c r="E15" s="12"/>
      <c r="F15" s="12"/>
      <c r="G15" s="12"/>
      <c r="H15" s="12"/>
      <c r="I15" s="12"/>
      <c r="J15" s="12"/>
      <c r="K15" s="13"/>
      <c r="O15" s="6" t="s">
        <v>1739</v>
      </c>
    </row>
    <row r="16" spans="1:17" x14ac:dyDescent="0.3">
      <c r="A16" s="6" t="s">
        <v>1737</v>
      </c>
      <c r="B16" s="5" t="s">
        <v>17</v>
      </c>
      <c r="C16" s="5">
        <v>1</v>
      </c>
      <c r="D16" s="5">
        <v>20</v>
      </c>
      <c r="E16" s="12"/>
      <c r="F16" s="12"/>
      <c r="G16" s="12"/>
      <c r="H16" s="12"/>
      <c r="I16" s="12"/>
      <c r="J16" s="12"/>
      <c r="K16" s="13"/>
      <c r="O16" s="6" t="s">
        <v>1712</v>
      </c>
    </row>
    <row r="17" spans="1:15" x14ac:dyDescent="0.3">
      <c r="A17" s="6" t="s">
        <v>1739</v>
      </c>
      <c r="B17" s="5" t="s">
        <v>17</v>
      </c>
      <c r="C17" s="5">
        <v>1</v>
      </c>
      <c r="D17" s="5">
        <v>20</v>
      </c>
      <c r="E17" s="12"/>
      <c r="F17" s="12"/>
      <c r="G17" s="12"/>
      <c r="H17" s="12"/>
      <c r="I17" s="12"/>
      <c r="J17" s="12"/>
      <c r="K17" s="13"/>
      <c r="O17" s="6" t="s">
        <v>1713</v>
      </c>
    </row>
    <row r="18" spans="1:15" x14ac:dyDescent="0.3">
      <c r="A18" s="6" t="s">
        <v>1712</v>
      </c>
      <c r="B18" s="5" t="s">
        <v>17</v>
      </c>
      <c r="C18" s="5">
        <v>1</v>
      </c>
      <c r="D18" s="5">
        <v>20</v>
      </c>
      <c r="E18" s="12"/>
      <c r="F18" s="12"/>
      <c r="G18" s="12"/>
      <c r="H18" s="12"/>
      <c r="I18" s="12"/>
      <c r="J18" s="12"/>
      <c r="K18" s="13"/>
      <c r="O18" s="6" t="s">
        <v>1743</v>
      </c>
    </row>
    <row r="19" spans="1:15" x14ac:dyDescent="0.3">
      <c r="A19" s="6" t="s">
        <v>1713</v>
      </c>
      <c r="B19" s="5" t="s">
        <v>17</v>
      </c>
      <c r="C19" s="5">
        <v>1</v>
      </c>
      <c r="D19" s="5">
        <v>20</v>
      </c>
      <c r="E19" s="12"/>
      <c r="F19" s="12"/>
      <c r="G19" s="12"/>
      <c r="H19" s="12"/>
      <c r="I19" s="12"/>
      <c r="J19" s="12"/>
      <c r="K19" s="13"/>
      <c r="O19" s="6" t="s">
        <v>1745</v>
      </c>
    </row>
    <row r="20" spans="1:15" x14ac:dyDescent="0.3">
      <c r="A20" s="6" t="s">
        <v>1743</v>
      </c>
      <c r="B20" s="5" t="s">
        <v>17</v>
      </c>
      <c r="C20" s="5">
        <v>1</v>
      </c>
      <c r="D20" s="5">
        <v>20</v>
      </c>
      <c r="E20" s="12"/>
      <c r="F20" s="12"/>
      <c r="G20" s="12"/>
      <c r="H20" s="12"/>
      <c r="I20" s="12"/>
      <c r="J20" s="12"/>
      <c r="K20" s="13"/>
      <c r="O20" s="6" t="s">
        <v>1747</v>
      </c>
    </row>
    <row r="21" spans="1:15" x14ac:dyDescent="0.3">
      <c r="A21" s="6" t="s">
        <v>1745</v>
      </c>
      <c r="B21" s="5" t="s">
        <v>17</v>
      </c>
      <c r="C21" s="5">
        <v>1</v>
      </c>
      <c r="D21" s="5">
        <v>20</v>
      </c>
      <c r="E21" s="12"/>
      <c r="F21" s="12"/>
      <c r="G21" s="12"/>
      <c r="H21" s="12"/>
      <c r="I21" s="12"/>
      <c r="J21" s="12"/>
      <c r="K21" s="13"/>
      <c r="O21" s="6" t="s">
        <v>1749</v>
      </c>
    </row>
    <row r="22" spans="1:15" x14ac:dyDescent="0.3">
      <c r="A22" s="6" t="s">
        <v>1747</v>
      </c>
      <c r="B22" s="5" t="s">
        <v>17</v>
      </c>
      <c r="C22" s="5">
        <v>1</v>
      </c>
      <c r="D22" s="5">
        <v>20</v>
      </c>
      <c r="E22" s="12"/>
      <c r="F22" s="12"/>
      <c r="G22" s="12"/>
      <c r="H22" s="12"/>
      <c r="I22" s="12"/>
      <c r="J22" s="12"/>
      <c r="K22" s="13"/>
      <c r="O22" s="6" t="s">
        <v>1751</v>
      </c>
    </row>
    <row r="23" spans="1:15" x14ac:dyDescent="0.3">
      <c r="A23" s="6" t="s">
        <v>1749</v>
      </c>
      <c r="B23" s="5" t="s">
        <v>17</v>
      </c>
      <c r="C23" s="5">
        <v>1</v>
      </c>
      <c r="D23" s="5">
        <v>20</v>
      </c>
      <c r="E23" s="12"/>
      <c r="F23" s="12"/>
      <c r="G23" s="12"/>
      <c r="H23" s="12"/>
      <c r="I23" s="12"/>
      <c r="J23" s="12"/>
      <c r="K23" s="13"/>
      <c r="O23" s="6" t="s">
        <v>1124</v>
      </c>
    </row>
    <row r="24" spans="1:15" x14ac:dyDescent="0.3">
      <c r="A24" s="6" t="s">
        <v>1751</v>
      </c>
      <c r="B24" s="5" t="s">
        <v>17</v>
      </c>
      <c r="C24" s="5">
        <v>1</v>
      </c>
      <c r="D24" s="5">
        <v>20</v>
      </c>
      <c r="E24" s="12"/>
      <c r="F24" s="12"/>
      <c r="G24" s="12"/>
      <c r="H24" s="12"/>
      <c r="I24" s="12"/>
      <c r="J24" s="12"/>
      <c r="K24" s="13"/>
      <c r="O24" s="6" t="s">
        <v>1125</v>
      </c>
    </row>
    <row r="25" spans="1:15" x14ac:dyDescent="0.3">
      <c r="A25" s="6" t="s">
        <v>1124</v>
      </c>
      <c r="B25" s="5" t="s">
        <v>2</v>
      </c>
      <c r="C25" s="5">
        <v>1</v>
      </c>
      <c r="D25" s="5">
        <v>20</v>
      </c>
      <c r="E25" s="12"/>
      <c r="F25" s="12"/>
      <c r="G25" s="12"/>
      <c r="H25" s="12"/>
      <c r="I25" s="12"/>
      <c r="J25" s="12"/>
      <c r="K25" s="13"/>
      <c r="O25" s="6" t="s">
        <v>1126</v>
      </c>
    </row>
    <row r="26" spans="1:15" x14ac:dyDescent="0.3">
      <c r="A26" s="6" t="s">
        <v>1125</v>
      </c>
      <c r="B26" s="5" t="s">
        <v>17</v>
      </c>
      <c r="C26" s="5">
        <v>1</v>
      </c>
      <c r="D26" s="5">
        <v>20</v>
      </c>
      <c r="E26" s="12"/>
      <c r="F26" s="12"/>
      <c r="G26" s="12"/>
      <c r="H26" s="12"/>
      <c r="I26" s="12"/>
      <c r="J26" s="12"/>
      <c r="K26" s="13"/>
      <c r="O26" s="6" t="s">
        <v>1127</v>
      </c>
    </row>
    <row r="27" spans="1:15" x14ac:dyDescent="0.3">
      <c r="A27" s="6" t="s">
        <v>1126</v>
      </c>
      <c r="B27" s="5" t="s">
        <v>17</v>
      </c>
      <c r="C27" s="5">
        <v>1</v>
      </c>
      <c r="D27" s="5">
        <v>20</v>
      </c>
      <c r="E27" s="12"/>
      <c r="F27" s="12"/>
      <c r="G27" s="12"/>
      <c r="H27" s="12"/>
      <c r="I27" s="12"/>
      <c r="J27" s="12"/>
      <c r="K27" s="13"/>
      <c r="O27" s="6" t="s">
        <v>1128</v>
      </c>
    </row>
    <row r="28" spans="1:15" x14ac:dyDescent="0.3">
      <c r="A28" s="6" t="s">
        <v>1127</v>
      </c>
      <c r="B28" s="5" t="s">
        <v>17</v>
      </c>
      <c r="C28" s="5">
        <v>1</v>
      </c>
      <c r="D28" s="5">
        <v>20</v>
      </c>
      <c r="E28" s="12"/>
      <c r="F28" s="12"/>
      <c r="G28" s="12"/>
      <c r="H28" s="12"/>
      <c r="I28" s="12"/>
      <c r="J28" s="12"/>
      <c r="K28" s="13"/>
      <c r="O28" s="6" t="s">
        <v>1130</v>
      </c>
    </row>
    <row r="29" spans="1:15" x14ac:dyDescent="0.3">
      <c r="A29" s="6" t="s">
        <v>1128</v>
      </c>
      <c r="B29" s="5" t="s">
        <v>17</v>
      </c>
      <c r="C29" s="5">
        <v>1</v>
      </c>
      <c r="D29" s="5">
        <v>20</v>
      </c>
      <c r="E29" s="12"/>
      <c r="F29" s="12"/>
      <c r="G29" s="12"/>
      <c r="H29" s="12"/>
      <c r="I29" s="12"/>
      <c r="J29" s="12"/>
      <c r="K29" s="13"/>
      <c r="O29" s="6" t="s">
        <v>1131</v>
      </c>
    </row>
    <row r="30" spans="1:15" x14ac:dyDescent="0.3">
      <c r="A30" s="6" t="s">
        <v>1130</v>
      </c>
      <c r="B30" s="5" t="s">
        <v>17</v>
      </c>
      <c r="C30" s="5">
        <v>1</v>
      </c>
      <c r="D30" s="5">
        <v>20</v>
      </c>
      <c r="E30" s="12"/>
      <c r="F30" s="12"/>
      <c r="G30" s="12"/>
      <c r="H30" s="12"/>
      <c r="I30" s="12"/>
      <c r="J30" s="12"/>
      <c r="K30" s="13"/>
      <c r="O30" s="6" t="s">
        <v>1132</v>
      </c>
    </row>
    <row r="31" spans="1:15" x14ac:dyDescent="0.3">
      <c r="A31" s="6" t="s">
        <v>1131</v>
      </c>
      <c r="B31" s="5" t="s">
        <v>17</v>
      </c>
      <c r="C31" s="5">
        <v>1</v>
      </c>
      <c r="D31" s="5">
        <v>20</v>
      </c>
      <c r="E31" s="12"/>
      <c r="F31" s="12"/>
      <c r="G31" s="12"/>
      <c r="H31" s="12"/>
      <c r="I31" s="12"/>
      <c r="J31" s="12"/>
      <c r="K31" s="13"/>
      <c r="O31" s="6" t="s">
        <v>1133</v>
      </c>
    </row>
    <row r="32" spans="1:15" x14ac:dyDescent="0.3">
      <c r="A32" s="6" t="s">
        <v>1132</v>
      </c>
      <c r="B32" s="5" t="s">
        <v>17</v>
      </c>
      <c r="C32" s="5">
        <v>1</v>
      </c>
      <c r="D32" s="5">
        <v>20</v>
      </c>
      <c r="E32" s="12"/>
      <c r="F32" s="12"/>
      <c r="G32" s="12"/>
      <c r="H32" s="12"/>
      <c r="I32" s="12"/>
      <c r="J32" s="12"/>
      <c r="K32" s="13"/>
      <c r="O32" s="6" t="s">
        <v>1134</v>
      </c>
    </row>
    <row r="33" spans="1:17" x14ac:dyDescent="0.3">
      <c r="A33" s="6" t="s">
        <v>1133</v>
      </c>
      <c r="B33" s="5" t="s">
        <v>17</v>
      </c>
      <c r="C33" s="5">
        <v>1</v>
      </c>
      <c r="D33" s="5">
        <v>20</v>
      </c>
      <c r="E33" s="12"/>
      <c r="F33" s="12"/>
      <c r="G33" s="12"/>
      <c r="H33" s="12"/>
      <c r="I33" s="12"/>
      <c r="J33" s="12"/>
      <c r="K33" s="13"/>
      <c r="O33" s="6" t="s">
        <v>1135</v>
      </c>
    </row>
    <row r="34" spans="1:17" x14ac:dyDescent="0.3">
      <c r="A34" s="6" t="s">
        <v>1134</v>
      </c>
      <c r="B34" s="5" t="s">
        <v>17</v>
      </c>
      <c r="C34" s="5">
        <v>1</v>
      </c>
      <c r="D34" s="5">
        <v>20</v>
      </c>
      <c r="E34" s="12"/>
      <c r="F34" s="12"/>
      <c r="G34" s="12"/>
      <c r="H34" s="12"/>
      <c r="I34" s="12"/>
      <c r="J34" s="12"/>
      <c r="K34" s="13"/>
      <c r="O34" s="6" t="s">
        <v>1136</v>
      </c>
    </row>
    <row r="35" spans="1:17" x14ac:dyDescent="0.3">
      <c r="A35" s="6" t="s">
        <v>1135</v>
      </c>
      <c r="B35" s="5" t="s">
        <v>2</v>
      </c>
      <c r="C35" s="5">
        <v>0.5</v>
      </c>
      <c r="D35" s="5">
        <v>10</v>
      </c>
      <c r="E35" s="12"/>
      <c r="F35" s="12"/>
      <c r="G35" s="12"/>
      <c r="H35" s="12"/>
      <c r="I35" s="12"/>
      <c r="J35" s="12"/>
      <c r="K35" s="13"/>
      <c r="O35" s="6" t="s">
        <v>1137</v>
      </c>
    </row>
    <row r="36" spans="1:17" x14ac:dyDescent="0.3">
      <c r="A36" s="6" t="s">
        <v>1136</v>
      </c>
      <c r="B36" s="5" t="s">
        <v>17</v>
      </c>
      <c r="C36" s="5">
        <v>1</v>
      </c>
      <c r="D36" s="5">
        <v>20</v>
      </c>
      <c r="E36" s="12"/>
      <c r="F36" s="12"/>
      <c r="G36" s="12"/>
      <c r="H36" s="12"/>
      <c r="I36" s="12"/>
      <c r="J36" s="12"/>
      <c r="K36" s="13"/>
      <c r="O36" s="6" t="s">
        <v>1138</v>
      </c>
    </row>
    <row r="37" spans="1:17" x14ac:dyDescent="0.3">
      <c r="A37" s="6" t="s">
        <v>1137</v>
      </c>
      <c r="B37" s="5" t="s">
        <v>17</v>
      </c>
      <c r="C37" s="5">
        <v>1</v>
      </c>
      <c r="D37" s="5">
        <v>20</v>
      </c>
      <c r="E37" s="12"/>
      <c r="F37" s="12"/>
      <c r="G37" s="12"/>
      <c r="H37" s="12"/>
      <c r="I37" s="12"/>
      <c r="J37" s="12"/>
      <c r="K37" s="13"/>
      <c r="O37" s="6" t="s">
        <v>1139</v>
      </c>
    </row>
    <row r="38" spans="1:17" x14ac:dyDescent="0.3">
      <c r="A38" s="6" t="s">
        <v>1138</v>
      </c>
      <c r="B38" s="5" t="s">
        <v>17</v>
      </c>
      <c r="C38" s="5">
        <v>1</v>
      </c>
      <c r="D38" s="5">
        <v>20</v>
      </c>
      <c r="E38" s="12"/>
      <c r="F38" s="12"/>
      <c r="G38" s="12"/>
      <c r="H38" s="12"/>
      <c r="I38" s="12"/>
      <c r="J38" s="12"/>
      <c r="K38" s="13"/>
      <c r="O38" s="6" t="s">
        <v>1140</v>
      </c>
    </row>
    <row r="39" spans="1:17" x14ac:dyDescent="0.3">
      <c r="A39" s="6" t="s">
        <v>1139</v>
      </c>
      <c r="B39" s="5" t="s">
        <v>17</v>
      </c>
      <c r="C39" s="5">
        <v>1</v>
      </c>
      <c r="D39" s="5">
        <v>20</v>
      </c>
      <c r="E39" s="12"/>
      <c r="F39" s="12"/>
      <c r="G39" s="12"/>
      <c r="H39" s="12"/>
      <c r="I39" s="12"/>
      <c r="J39" s="12"/>
      <c r="K39" s="13"/>
      <c r="L39" s="43" t="s">
        <v>1513</v>
      </c>
      <c r="O39" s="6" t="s">
        <v>1141</v>
      </c>
    </row>
    <row r="40" spans="1:17" x14ac:dyDescent="0.3">
      <c r="A40" s="6" t="s">
        <v>1140</v>
      </c>
      <c r="B40" s="5" t="s">
        <v>17</v>
      </c>
      <c r="C40" s="5">
        <v>1</v>
      </c>
      <c r="D40" s="5">
        <v>20</v>
      </c>
      <c r="E40" s="12"/>
      <c r="F40" s="12"/>
      <c r="G40" s="12"/>
      <c r="H40" s="12"/>
      <c r="I40" s="12"/>
      <c r="J40" s="12"/>
      <c r="K40" s="13"/>
      <c r="L40" s="43" t="s">
        <v>1514</v>
      </c>
      <c r="O40" s="6" t="s">
        <v>1142</v>
      </c>
    </row>
    <row r="41" spans="1:17" x14ac:dyDescent="0.3">
      <c r="A41" s="6" t="s">
        <v>1141</v>
      </c>
      <c r="B41" s="5" t="s">
        <v>17</v>
      </c>
      <c r="C41" s="5">
        <v>1</v>
      </c>
      <c r="D41" s="5">
        <v>20</v>
      </c>
      <c r="E41" s="12"/>
      <c r="F41" s="12"/>
      <c r="G41" s="12"/>
      <c r="H41" s="12"/>
      <c r="I41" s="12"/>
      <c r="J41" s="12"/>
      <c r="K41" s="13"/>
      <c r="O41" s="6" t="s">
        <v>1143</v>
      </c>
    </row>
    <row r="42" spans="1:17" x14ac:dyDescent="0.3">
      <c r="A42" s="6" t="s">
        <v>1142</v>
      </c>
      <c r="B42" s="5" t="s">
        <v>17</v>
      </c>
      <c r="C42" s="5">
        <v>1</v>
      </c>
      <c r="D42" s="5">
        <v>20</v>
      </c>
      <c r="E42" s="12"/>
      <c r="F42" s="12"/>
      <c r="G42" s="12"/>
      <c r="H42" s="12"/>
      <c r="I42" s="12"/>
      <c r="J42" s="12"/>
      <c r="K42" s="13"/>
      <c r="L42" t="s">
        <v>1817</v>
      </c>
      <c r="O42" s="6" t="s">
        <v>1144</v>
      </c>
    </row>
    <row r="43" spans="1:17" x14ac:dyDescent="0.3">
      <c r="A43" s="6" t="s">
        <v>1143</v>
      </c>
      <c r="B43" s="5" t="s">
        <v>17</v>
      </c>
      <c r="C43" s="5">
        <v>1</v>
      </c>
      <c r="D43" s="5">
        <v>20</v>
      </c>
      <c r="E43" s="12"/>
      <c r="F43" s="12"/>
      <c r="G43" s="12"/>
      <c r="H43" s="12"/>
      <c r="I43" s="12"/>
      <c r="J43" s="12"/>
      <c r="K43" s="13"/>
      <c r="L43">
        <v>27</v>
      </c>
      <c r="O43" s="6" t="s">
        <v>1145</v>
      </c>
    </row>
    <row r="44" spans="1:17" x14ac:dyDescent="0.3">
      <c r="A44" s="6" t="s">
        <v>1144</v>
      </c>
      <c r="B44" s="5" t="s">
        <v>17</v>
      </c>
      <c r="C44" s="5">
        <v>1</v>
      </c>
      <c r="D44" s="5">
        <v>20</v>
      </c>
      <c r="E44" s="12"/>
      <c r="F44" s="12"/>
      <c r="G44" s="12"/>
      <c r="H44" s="12"/>
      <c r="I44" s="12"/>
      <c r="J44" s="12"/>
      <c r="K44" s="13"/>
      <c r="O44" s="6" t="s">
        <v>1146</v>
      </c>
    </row>
    <row r="45" spans="1:17" x14ac:dyDescent="0.3">
      <c r="A45" s="6" t="s">
        <v>1145</v>
      </c>
      <c r="B45" s="5" t="s">
        <v>17</v>
      </c>
      <c r="C45" s="5">
        <v>1</v>
      </c>
      <c r="D45" s="5">
        <v>20</v>
      </c>
      <c r="E45" s="12"/>
      <c r="F45" s="12"/>
      <c r="G45" s="12"/>
      <c r="H45" s="12"/>
      <c r="I45" s="12"/>
      <c r="J45" s="12"/>
      <c r="K45" s="13"/>
      <c r="O45" s="6" t="s">
        <v>1844</v>
      </c>
      <c r="P45" s="6" t="s">
        <v>2540</v>
      </c>
      <c r="Q45" s="6" t="s">
        <v>1077</v>
      </c>
    </row>
    <row r="46" spans="1:17" x14ac:dyDescent="0.3">
      <c r="A46" s="6" t="s">
        <v>1146</v>
      </c>
      <c r="B46" s="5" t="s">
        <v>17</v>
      </c>
      <c r="C46" s="5">
        <v>1</v>
      </c>
      <c r="D46" s="5">
        <v>20</v>
      </c>
      <c r="E46" s="12"/>
      <c r="F46" s="12"/>
      <c r="G46" s="12"/>
      <c r="H46" s="12"/>
      <c r="I46" s="12"/>
      <c r="J46" s="12"/>
      <c r="K46" s="13"/>
      <c r="O46" s="6" t="s">
        <v>1845</v>
      </c>
      <c r="P46" s="6" t="s">
        <v>2532</v>
      </c>
      <c r="Q46" s="6" t="s">
        <v>1077</v>
      </c>
    </row>
    <row r="47" spans="1:17" x14ac:dyDescent="0.3">
      <c r="A47" s="6" t="s">
        <v>1844</v>
      </c>
      <c r="B47" s="5" t="s">
        <v>17</v>
      </c>
      <c r="C47" s="5">
        <v>1</v>
      </c>
      <c r="D47" s="5">
        <v>20</v>
      </c>
      <c r="E47" s="12"/>
      <c r="F47" s="12"/>
      <c r="G47" s="12"/>
      <c r="H47" s="12"/>
      <c r="I47" s="12"/>
      <c r="J47" s="12"/>
      <c r="K47" s="13"/>
      <c r="O47" s="6" t="s">
        <v>1846</v>
      </c>
      <c r="P47" s="6" t="s">
        <v>2533</v>
      </c>
      <c r="Q47" s="6" t="s">
        <v>1077</v>
      </c>
    </row>
    <row r="48" spans="1:17" x14ac:dyDescent="0.3">
      <c r="A48" s="6" t="s">
        <v>1845</v>
      </c>
      <c r="B48" s="5" t="s">
        <v>17</v>
      </c>
      <c r="C48" s="5">
        <v>1</v>
      </c>
      <c r="D48" s="5">
        <v>20</v>
      </c>
      <c r="E48" s="12"/>
      <c r="F48" s="12"/>
      <c r="G48" s="12"/>
      <c r="H48" s="12"/>
      <c r="I48" s="12"/>
      <c r="J48" s="12"/>
      <c r="K48" s="13"/>
      <c r="O48" s="6" t="s">
        <v>1847</v>
      </c>
      <c r="P48" s="6" t="s">
        <v>2534</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1147</v>
      </c>
    </row>
    <row r="52" spans="1:15" x14ac:dyDescent="0.3">
      <c r="A52" s="12" t="s">
        <v>1512</v>
      </c>
      <c r="B52" s="12" t="s">
        <v>1508</v>
      </c>
      <c r="C52" s="12" t="s">
        <v>1509</v>
      </c>
      <c r="D52" s="12" t="s">
        <v>1510</v>
      </c>
      <c r="E52" s="12"/>
      <c r="F52" s="12"/>
      <c r="G52" s="12"/>
      <c r="H52" s="12"/>
      <c r="I52" s="12"/>
      <c r="J52" s="12"/>
      <c r="K52" s="13"/>
      <c r="O52" s="6" t="s">
        <v>1149</v>
      </c>
    </row>
    <row r="53" spans="1:15" x14ac:dyDescent="0.3">
      <c r="A53" s="6" t="s">
        <v>1147</v>
      </c>
      <c r="B53" s="5" t="s">
        <v>17</v>
      </c>
      <c r="C53" s="5">
        <v>1</v>
      </c>
      <c r="D53" s="5">
        <v>20</v>
      </c>
      <c r="E53" s="12"/>
      <c r="F53" s="12"/>
      <c r="G53" s="12"/>
      <c r="H53" s="12"/>
      <c r="I53" s="12"/>
      <c r="J53" s="12"/>
      <c r="K53" s="13"/>
      <c r="O53" s="6" t="s">
        <v>1151</v>
      </c>
    </row>
    <row r="54" spans="1:15" x14ac:dyDescent="0.3">
      <c r="A54" s="6" t="s">
        <v>1149</v>
      </c>
      <c r="B54" s="5" t="s">
        <v>17</v>
      </c>
      <c r="C54" s="5">
        <v>1</v>
      </c>
      <c r="D54" s="5">
        <v>20</v>
      </c>
      <c r="E54" s="12"/>
      <c r="F54" s="12"/>
      <c r="G54" s="12"/>
      <c r="H54" s="12"/>
      <c r="I54" s="12"/>
      <c r="J54" s="12"/>
      <c r="K54" s="13"/>
      <c r="O54" s="6" t="s">
        <v>1153</v>
      </c>
    </row>
    <row r="55" spans="1:15" x14ac:dyDescent="0.3">
      <c r="A55" s="6" t="s">
        <v>1151</v>
      </c>
      <c r="B55" s="5" t="s">
        <v>17</v>
      </c>
      <c r="C55" s="5">
        <v>1</v>
      </c>
      <c r="D55" s="5">
        <v>20</v>
      </c>
      <c r="E55" s="12"/>
      <c r="F55" s="12"/>
      <c r="G55" s="12"/>
      <c r="H55" s="12"/>
      <c r="I55" s="12"/>
      <c r="J55" s="12"/>
      <c r="K55" s="13"/>
      <c r="O55" s="6" t="s">
        <v>1155</v>
      </c>
    </row>
    <row r="56" spans="1:15" x14ac:dyDescent="0.3">
      <c r="A56" s="6" t="s">
        <v>1153</v>
      </c>
      <c r="B56" s="5" t="s">
        <v>17</v>
      </c>
      <c r="C56" s="5">
        <v>1</v>
      </c>
      <c r="D56" s="5">
        <v>20</v>
      </c>
      <c r="E56" s="12"/>
      <c r="F56" s="12"/>
      <c r="G56" s="12"/>
      <c r="H56" s="12"/>
      <c r="I56" s="12"/>
      <c r="J56" s="12"/>
      <c r="K56" s="13"/>
      <c r="O56" s="6" t="s">
        <v>1157</v>
      </c>
    </row>
    <row r="57" spans="1:15" x14ac:dyDescent="0.3">
      <c r="A57" s="6" t="s">
        <v>1155</v>
      </c>
      <c r="B57" s="5" t="s">
        <v>17</v>
      </c>
      <c r="C57" s="5">
        <v>1</v>
      </c>
      <c r="D57" s="5">
        <v>20</v>
      </c>
      <c r="E57" s="12"/>
      <c r="F57" s="12"/>
      <c r="G57" s="12"/>
      <c r="H57" s="12"/>
      <c r="I57" s="12"/>
      <c r="J57" s="12"/>
      <c r="K57" s="13"/>
      <c r="O57" s="6" t="s">
        <v>1159</v>
      </c>
    </row>
    <row r="58" spans="1:15" x14ac:dyDescent="0.3">
      <c r="A58" s="6" t="s">
        <v>1157</v>
      </c>
      <c r="B58" s="5" t="s">
        <v>17</v>
      </c>
      <c r="C58" s="5">
        <v>1</v>
      </c>
      <c r="D58" s="5">
        <v>20</v>
      </c>
      <c r="E58" s="12"/>
      <c r="F58" s="12"/>
      <c r="G58" s="12"/>
      <c r="H58" s="12"/>
      <c r="I58" s="12"/>
      <c r="J58" s="12"/>
      <c r="K58" s="13"/>
      <c r="O58" s="6" t="s">
        <v>1161</v>
      </c>
    </row>
    <row r="59" spans="1:15" x14ac:dyDescent="0.3">
      <c r="A59" s="6" t="s">
        <v>1159</v>
      </c>
      <c r="B59" s="5" t="s">
        <v>2</v>
      </c>
      <c r="C59" s="5">
        <v>0.05</v>
      </c>
      <c r="D59" s="5">
        <v>1</v>
      </c>
      <c r="E59" s="12"/>
      <c r="F59" s="12"/>
      <c r="G59" s="12"/>
      <c r="H59" s="12"/>
      <c r="I59" s="12"/>
      <c r="J59" s="12"/>
      <c r="K59" s="13"/>
      <c r="O59" s="6" t="s">
        <v>1674</v>
      </c>
    </row>
    <row r="60" spans="1:15" x14ac:dyDescent="0.3">
      <c r="A60" s="6" t="s">
        <v>1161</v>
      </c>
      <c r="B60" s="5" t="s">
        <v>2</v>
      </c>
      <c r="C60" s="5">
        <v>0.05</v>
      </c>
      <c r="D60" s="5">
        <v>1</v>
      </c>
      <c r="E60" s="12"/>
      <c r="F60" s="12"/>
      <c r="G60" s="12"/>
      <c r="H60" s="12"/>
      <c r="I60" s="12"/>
      <c r="J60" s="12"/>
      <c r="K60" s="13"/>
      <c r="O60" s="6" t="s">
        <v>1163</v>
      </c>
    </row>
    <row r="61" spans="1:15" x14ac:dyDescent="0.3">
      <c r="A61" s="6" t="s">
        <v>1674</v>
      </c>
      <c r="B61" s="5" t="s">
        <v>2</v>
      </c>
      <c r="C61" s="5">
        <v>0.05</v>
      </c>
      <c r="D61" s="5">
        <v>1</v>
      </c>
      <c r="E61" s="12"/>
      <c r="F61" s="12"/>
      <c r="G61" s="12"/>
      <c r="H61" s="12"/>
      <c r="I61" s="12"/>
      <c r="J61" s="12"/>
      <c r="K61" s="13"/>
      <c r="O61" s="6" t="s">
        <v>1165</v>
      </c>
    </row>
    <row r="62" spans="1:15" x14ac:dyDescent="0.3">
      <c r="A62" s="6" t="s">
        <v>1163</v>
      </c>
      <c r="B62" s="5" t="s">
        <v>17</v>
      </c>
      <c r="C62" s="5">
        <v>1</v>
      </c>
      <c r="D62" s="5">
        <v>20</v>
      </c>
      <c r="E62" s="12"/>
      <c r="F62" s="12"/>
      <c r="G62" s="12"/>
      <c r="H62" s="12"/>
      <c r="I62" s="12"/>
      <c r="J62" s="12"/>
      <c r="K62" s="13"/>
      <c r="O62" s="6" t="s">
        <v>1167</v>
      </c>
    </row>
    <row r="63" spans="1:15" x14ac:dyDescent="0.3">
      <c r="A63" s="6" t="s">
        <v>1165</v>
      </c>
      <c r="B63" s="5" t="s">
        <v>17</v>
      </c>
      <c r="C63" s="5">
        <v>1</v>
      </c>
      <c r="D63" s="5">
        <v>20</v>
      </c>
      <c r="E63" s="12"/>
      <c r="F63" s="12"/>
      <c r="G63" s="12"/>
      <c r="H63" s="12"/>
      <c r="I63" s="12"/>
      <c r="J63" s="12"/>
      <c r="K63" s="13"/>
      <c r="O63" s="6" t="s">
        <v>1169</v>
      </c>
    </row>
    <row r="64" spans="1:15" x14ac:dyDescent="0.3">
      <c r="A64" s="6" t="s">
        <v>1167</v>
      </c>
      <c r="B64" s="5" t="s">
        <v>17</v>
      </c>
      <c r="C64" s="5">
        <v>1</v>
      </c>
      <c r="D64" s="5">
        <v>20</v>
      </c>
      <c r="E64" s="12"/>
      <c r="F64" s="12"/>
      <c r="G64" s="12"/>
      <c r="H64" s="12"/>
      <c r="I64" s="12"/>
      <c r="J64" s="12"/>
      <c r="K64" s="13"/>
      <c r="O64" s="6" t="s">
        <v>1171</v>
      </c>
    </row>
    <row r="65" spans="1:15" x14ac:dyDescent="0.3">
      <c r="A65" s="6" t="s">
        <v>1169</v>
      </c>
      <c r="B65" s="5" t="s">
        <v>17</v>
      </c>
      <c r="C65" s="5">
        <v>1</v>
      </c>
      <c r="D65" s="5">
        <v>20</v>
      </c>
      <c r="E65" s="12"/>
      <c r="F65" s="12"/>
      <c r="G65" s="12"/>
      <c r="H65" s="12"/>
      <c r="I65" s="12"/>
      <c r="J65" s="12"/>
      <c r="K65" s="13"/>
      <c r="O65" s="6" t="s">
        <v>1173</v>
      </c>
    </row>
    <row r="66" spans="1:15" x14ac:dyDescent="0.3">
      <c r="A66" s="6" t="s">
        <v>1171</v>
      </c>
      <c r="B66" s="5" t="s">
        <v>17</v>
      </c>
      <c r="C66" s="5">
        <v>1</v>
      </c>
      <c r="D66" s="5">
        <v>20</v>
      </c>
      <c r="E66" s="12"/>
      <c r="F66" s="12"/>
      <c r="G66" s="12"/>
      <c r="H66" s="12"/>
      <c r="I66" s="12"/>
      <c r="J66" s="12"/>
      <c r="K66" s="13"/>
      <c r="O66" s="6" t="s">
        <v>1175</v>
      </c>
    </row>
    <row r="67" spans="1:15" x14ac:dyDescent="0.3">
      <c r="A67" s="6" t="s">
        <v>1173</v>
      </c>
      <c r="B67" s="5" t="s">
        <v>17</v>
      </c>
      <c r="C67" s="5">
        <v>1</v>
      </c>
      <c r="D67" s="5">
        <v>20</v>
      </c>
      <c r="E67" s="12"/>
      <c r="F67" s="12"/>
      <c r="G67" s="12"/>
      <c r="H67" s="12"/>
      <c r="I67" s="12"/>
      <c r="J67" s="12"/>
      <c r="K67" s="13"/>
      <c r="O67" s="6" t="s">
        <v>1177</v>
      </c>
    </row>
    <row r="68" spans="1:15" x14ac:dyDescent="0.3">
      <c r="A68" s="6" t="s">
        <v>1175</v>
      </c>
      <c r="B68" s="5" t="s">
        <v>17</v>
      </c>
      <c r="C68" s="5">
        <v>1</v>
      </c>
      <c r="D68" s="5">
        <v>20</v>
      </c>
      <c r="E68" s="12"/>
      <c r="F68" s="12"/>
      <c r="G68" s="12"/>
      <c r="H68" s="12"/>
      <c r="I68" s="12"/>
      <c r="J68" s="12"/>
      <c r="K68" s="13"/>
      <c r="O68" s="6" t="s">
        <v>1754</v>
      </c>
    </row>
    <row r="69" spans="1:15" x14ac:dyDescent="0.3">
      <c r="A69" s="6" t="s">
        <v>1177</v>
      </c>
      <c r="B69" s="5" t="s">
        <v>17</v>
      </c>
      <c r="C69" s="5">
        <v>1</v>
      </c>
      <c r="D69" s="5">
        <v>20</v>
      </c>
      <c r="E69" s="12"/>
      <c r="F69" s="12"/>
      <c r="G69" s="12"/>
      <c r="H69" s="12"/>
      <c r="I69" s="12"/>
      <c r="J69" s="12"/>
      <c r="K69" s="13"/>
      <c r="O69" s="37" t="s">
        <v>1755</v>
      </c>
    </row>
    <row r="70" spans="1:15" x14ac:dyDescent="0.3">
      <c r="A70" s="6" t="s">
        <v>1754</v>
      </c>
      <c r="B70" s="5" t="s">
        <v>17</v>
      </c>
      <c r="C70" s="5">
        <v>1</v>
      </c>
      <c r="D70" s="5">
        <v>20</v>
      </c>
      <c r="E70" s="12"/>
      <c r="F70" s="12"/>
      <c r="G70" s="12"/>
      <c r="H70" s="12"/>
      <c r="I70" s="12"/>
      <c r="J70" s="12"/>
      <c r="K70" s="13"/>
      <c r="O70" s="6" t="s">
        <v>1179</v>
      </c>
    </row>
    <row r="71" spans="1:15" x14ac:dyDescent="0.3">
      <c r="A71" s="37" t="s">
        <v>1755</v>
      </c>
      <c r="B71" s="5" t="s">
        <v>17</v>
      </c>
      <c r="C71" s="5">
        <v>1</v>
      </c>
      <c r="D71" s="5">
        <v>20</v>
      </c>
      <c r="E71" s="12"/>
      <c r="F71" s="12"/>
      <c r="G71" s="12"/>
      <c r="H71" s="12"/>
      <c r="I71" s="12"/>
      <c r="J71" s="12"/>
      <c r="K71" s="13"/>
      <c r="O71" s="6" t="s">
        <v>1181</v>
      </c>
    </row>
    <row r="72" spans="1:15" x14ac:dyDescent="0.3">
      <c r="A72" s="6" t="s">
        <v>1179</v>
      </c>
      <c r="B72" s="5" t="s">
        <v>17</v>
      </c>
      <c r="C72" s="5">
        <v>1</v>
      </c>
      <c r="D72" s="5">
        <v>20</v>
      </c>
      <c r="E72" s="12"/>
      <c r="F72" s="12"/>
      <c r="G72" s="12"/>
      <c r="H72" s="12"/>
      <c r="I72" s="12"/>
      <c r="J72" s="12"/>
      <c r="K72" s="13"/>
      <c r="O72" s="6" t="s">
        <v>1183</v>
      </c>
    </row>
    <row r="73" spans="1:15" x14ac:dyDescent="0.3">
      <c r="A73" s="6" t="s">
        <v>1181</v>
      </c>
      <c r="B73" s="5" t="s">
        <v>17</v>
      </c>
      <c r="C73" s="5">
        <v>1</v>
      </c>
      <c r="D73" s="5">
        <v>20</v>
      </c>
      <c r="E73" s="12"/>
      <c r="F73" s="12"/>
      <c r="G73" s="12"/>
      <c r="H73" s="12"/>
      <c r="I73" s="12"/>
      <c r="J73" s="12"/>
      <c r="K73" s="13"/>
      <c r="O73" s="6" t="s">
        <v>1185</v>
      </c>
    </row>
    <row r="74" spans="1:15" x14ac:dyDescent="0.3">
      <c r="A74" s="6" t="s">
        <v>1183</v>
      </c>
      <c r="B74" s="5" t="s">
        <v>17</v>
      </c>
      <c r="C74" s="5">
        <v>1</v>
      </c>
      <c r="D74" s="5">
        <v>20</v>
      </c>
      <c r="E74" s="12"/>
      <c r="F74" s="12"/>
      <c r="G74" s="12"/>
      <c r="H74" s="12"/>
      <c r="I74" s="12"/>
      <c r="J74" s="12"/>
      <c r="K74" s="13"/>
      <c r="O74" s="6" t="s">
        <v>1187</v>
      </c>
    </row>
    <row r="75" spans="1:15" x14ac:dyDescent="0.3">
      <c r="A75" s="6" t="s">
        <v>1185</v>
      </c>
      <c r="B75" s="5" t="s">
        <v>17</v>
      </c>
      <c r="C75" s="5">
        <v>1</v>
      </c>
      <c r="D75" s="5">
        <v>20</v>
      </c>
      <c r="E75" s="12"/>
      <c r="F75" s="12"/>
      <c r="G75" s="12"/>
      <c r="H75" s="12"/>
      <c r="I75" s="12"/>
      <c r="J75" s="12"/>
      <c r="K75" s="13"/>
      <c r="O75" s="6" t="s">
        <v>1189</v>
      </c>
    </row>
    <row r="76" spans="1:15" x14ac:dyDescent="0.3">
      <c r="A76" s="6" t="s">
        <v>1187</v>
      </c>
      <c r="B76" s="5" t="s">
        <v>17</v>
      </c>
      <c r="C76" s="5">
        <v>1</v>
      </c>
      <c r="D76" s="5">
        <v>20</v>
      </c>
      <c r="E76" s="12"/>
      <c r="F76" s="12"/>
      <c r="G76" s="12"/>
      <c r="H76" s="12"/>
      <c r="I76" s="12"/>
      <c r="J76" s="12"/>
      <c r="K76" s="13"/>
      <c r="O76" s="6" t="s">
        <v>1191</v>
      </c>
    </row>
    <row r="77" spans="1:15" x14ac:dyDescent="0.3">
      <c r="A77" s="6" t="s">
        <v>1189</v>
      </c>
      <c r="B77" s="5" t="s">
        <v>17</v>
      </c>
      <c r="C77" s="5">
        <v>1</v>
      </c>
      <c r="D77" s="5">
        <v>20</v>
      </c>
      <c r="E77" s="12"/>
      <c r="F77" s="12"/>
      <c r="G77" s="12"/>
      <c r="H77" s="12"/>
      <c r="I77" s="12"/>
      <c r="J77" s="12"/>
      <c r="K77" s="13"/>
      <c r="O77" s="6" t="s">
        <v>1758</v>
      </c>
    </row>
    <row r="78" spans="1:15" x14ac:dyDescent="0.3">
      <c r="A78" s="6" t="s">
        <v>1191</v>
      </c>
      <c r="B78" s="5" t="s">
        <v>17</v>
      </c>
      <c r="C78" s="5">
        <v>1</v>
      </c>
      <c r="D78" s="5">
        <v>20</v>
      </c>
      <c r="E78" s="12"/>
      <c r="F78" s="12"/>
      <c r="G78" s="12"/>
      <c r="H78" s="12"/>
      <c r="I78" s="12"/>
      <c r="J78" s="12"/>
      <c r="K78" s="13"/>
    </row>
    <row r="79" spans="1:15" x14ac:dyDescent="0.3">
      <c r="A79" s="6" t="s">
        <v>1758</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4" t="s">
        <v>1518</v>
      </c>
      <c r="B1" s="44"/>
      <c r="C1" s="44"/>
      <c r="D1" s="44"/>
      <c r="E1" s="44"/>
      <c r="F1" s="44"/>
      <c r="G1" s="44"/>
      <c r="H1" s="44"/>
      <c r="I1" s="44"/>
      <c r="J1" s="44"/>
      <c r="K1" s="44"/>
      <c r="L1" s="44"/>
      <c r="M1" s="44"/>
      <c r="N1" s="44"/>
      <c r="O1" s="44"/>
      <c r="P1" s="44"/>
      <c r="Q1" s="44"/>
      <c r="R1" s="44"/>
      <c r="S1" s="44"/>
    </row>
    <row r="2" spans="1:24" x14ac:dyDescent="0.3">
      <c r="A2" s="44" t="s">
        <v>1519</v>
      </c>
      <c r="B2" s="44"/>
      <c r="C2" s="44"/>
      <c r="D2" s="44"/>
      <c r="E2" s="44"/>
      <c r="F2" s="44"/>
      <c r="G2" s="44"/>
      <c r="H2" s="44"/>
      <c r="I2" s="44"/>
      <c r="J2" s="44"/>
      <c r="K2" s="44"/>
      <c r="L2" s="44"/>
      <c r="M2" s="44"/>
      <c r="N2" s="44"/>
      <c r="O2" s="44"/>
      <c r="P2" s="44"/>
      <c r="Q2" s="44"/>
      <c r="R2" s="44"/>
      <c r="S2" s="44"/>
      <c r="X2" t="s">
        <v>1832</v>
      </c>
    </row>
    <row r="3" spans="1:24" x14ac:dyDescent="0.3">
      <c r="A3" s="44" t="s">
        <v>1559</v>
      </c>
      <c r="B3" s="44" t="s">
        <v>1560</v>
      </c>
      <c r="C3" s="44"/>
      <c r="D3" s="44"/>
      <c r="E3" s="44"/>
      <c r="F3" s="44"/>
      <c r="G3" s="44"/>
      <c r="H3" s="44"/>
      <c r="I3" s="44"/>
      <c r="J3" s="44"/>
      <c r="K3" s="44"/>
      <c r="L3" s="44"/>
      <c r="M3" s="44"/>
      <c r="N3" s="44"/>
      <c r="O3" s="44"/>
      <c r="P3" s="44"/>
      <c r="Q3" s="44"/>
      <c r="R3" s="44"/>
      <c r="S3" s="44"/>
      <c r="X3" s="71" t="s">
        <v>1831</v>
      </c>
    </row>
    <row r="4" spans="1:24" x14ac:dyDescent="0.3">
      <c r="A4" s="45"/>
      <c r="B4" s="6">
        <v>0.125</v>
      </c>
      <c r="C4" s="44"/>
      <c r="D4" s="44"/>
      <c r="E4" s="44"/>
      <c r="F4" s="44"/>
      <c r="G4" s="44"/>
      <c r="H4" s="44"/>
      <c r="I4" s="44"/>
      <c r="J4" s="44"/>
      <c r="K4" s="44"/>
      <c r="L4" s="44"/>
      <c r="M4" s="44"/>
      <c r="N4" s="44"/>
      <c r="O4" s="44"/>
      <c r="P4" s="44"/>
      <c r="Q4" s="44"/>
      <c r="R4" s="44"/>
      <c r="S4" s="44"/>
    </row>
    <row r="5" spans="1:24" x14ac:dyDescent="0.3">
      <c r="A5" s="44" t="s">
        <v>1520</v>
      </c>
      <c r="B5" s="44"/>
      <c r="C5" s="44"/>
      <c r="D5" s="44"/>
      <c r="E5" s="44"/>
      <c r="F5" s="44"/>
      <c r="G5" s="44"/>
      <c r="H5" s="44"/>
      <c r="I5" s="44"/>
      <c r="J5" s="44"/>
      <c r="K5" s="44"/>
      <c r="L5" s="44"/>
      <c r="M5" s="44"/>
      <c r="N5" s="44"/>
      <c r="O5" s="44"/>
      <c r="P5" s="44"/>
      <c r="Q5" s="44"/>
      <c r="R5" s="44"/>
      <c r="S5" s="44"/>
    </row>
    <row r="6" spans="1:24" x14ac:dyDescent="0.3">
      <c r="A6" s="45" t="s">
        <v>1521</v>
      </c>
      <c r="B6" s="45" t="s">
        <v>1522</v>
      </c>
      <c r="C6" s="45" t="s">
        <v>1523</v>
      </c>
      <c r="D6" s="45" t="s">
        <v>1524</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1525</v>
      </c>
      <c r="B9" s="45" t="s">
        <v>1526</v>
      </c>
      <c r="C9" s="45" t="s">
        <v>1527</v>
      </c>
      <c r="D9" s="45" t="s">
        <v>1528</v>
      </c>
      <c r="E9" s="45" t="s">
        <v>1529</v>
      </c>
      <c r="F9" s="45" t="s">
        <v>1530</v>
      </c>
      <c r="G9" s="45" t="s">
        <v>1531</v>
      </c>
      <c r="H9" s="45" t="s">
        <v>1500</v>
      </c>
      <c r="I9" s="45" t="s">
        <v>1532</v>
      </c>
      <c r="J9" s="45" t="s">
        <v>1533</v>
      </c>
      <c r="K9" s="45" t="s">
        <v>1534</v>
      </c>
      <c r="L9" s="45" t="s">
        <v>1535</v>
      </c>
      <c r="M9" s="45" t="s">
        <v>1536</v>
      </c>
      <c r="N9" s="44" t="s">
        <v>1537</v>
      </c>
      <c r="O9" s="44" t="s">
        <v>1538</v>
      </c>
      <c r="P9" s="44" t="s">
        <v>1539</v>
      </c>
      <c r="Q9" s="44" t="s">
        <v>1540</v>
      </c>
      <c r="R9" s="44" t="s">
        <v>1541</v>
      </c>
      <c r="S9" s="44" t="s">
        <v>1542</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1543</v>
      </c>
      <c r="B15" s="45" t="s">
        <v>1544</v>
      </c>
      <c r="C15" s="45" t="s">
        <v>1545</v>
      </c>
      <c r="D15" s="45" t="s">
        <v>1546</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1547</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1548</v>
      </c>
      <c r="B27" s="45" t="s">
        <v>1549</v>
      </c>
      <c r="C27" s="45" t="s">
        <v>1523</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1550</v>
      </c>
      <c r="B30" s="45" t="s">
        <v>1526</v>
      </c>
      <c r="C30" s="45" t="s">
        <v>1527</v>
      </c>
      <c r="D30" s="45" t="s">
        <v>1529</v>
      </c>
      <c r="E30" s="45" t="s">
        <v>1530</v>
      </c>
      <c r="F30" s="45" t="s">
        <v>1531</v>
      </c>
      <c r="G30" s="45" t="s">
        <v>1551</v>
      </c>
      <c r="H30" s="45" t="s">
        <v>1552</v>
      </c>
      <c r="I30" s="45" t="s">
        <v>1553</v>
      </c>
      <c r="J30" s="45" t="s">
        <v>1554</v>
      </c>
      <c r="K30" s="45" t="s">
        <v>1555</v>
      </c>
      <c r="L30" s="45" t="s">
        <v>1572</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1556</v>
      </c>
      <c r="B33" s="45" t="s">
        <v>1557</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1558</v>
      </c>
      <c r="B36" s="45" t="s">
        <v>1562</v>
      </c>
      <c r="C36" s="45" t="s">
        <v>1563</v>
      </c>
      <c r="D36" s="45" t="s">
        <v>1564</v>
      </c>
      <c r="E36" s="45" t="s">
        <v>1565</v>
      </c>
      <c r="F36" s="45" t="s">
        <v>1566</v>
      </c>
      <c r="G36" s="45" t="s">
        <v>1567</v>
      </c>
      <c r="H36" s="45" t="s">
        <v>1568</v>
      </c>
      <c r="I36" s="45" t="s">
        <v>1569</v>
      </c>
      <c r="J36" s="45" t="s">
        <v>1570</v>
      </c>
      <c r="K36" s="45" t="s">
        <v>1571</v>
      </c>
      <c r="L36" s="44"/>
      <c r="M36" s="44"/>
      <c r="N36" s="44"/>
      <c r="O36" s="44"/>
      <c r="P36" s="44"/>
      <c r="Q36" s="44"/>
      <c r="R36" s="44"/>
      <c r="S36" s="44"/>
      <c r="T36" t="s">
        <v>1561</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6" t="s">
        <v>1598</v>
      </c>
      <c r="B1" s="46" t="s">
        <v>1573</v>
      </c>
      <c r="C1" s="46"/>
    </row>
    <row r="2" spans="1:9" x14ac:dyDescent="0.3">
      <c r="A2" s="46" t="s">
        <v>17</v>
      </c>
      <c r="B2" s="46">
        <v>1</v>
      </c>
      <c r="C2" s="46"/>
      <c r="I2" t="s">
        <v>1832</v>
      </c>
    </row>
    <row r="3" spans="1:9" x14ac:dyDescent="0.3">
      <c r="A3" s="46" t="s">
        <v>1574</v>
      </c>
      <c r="B3" s="46" t="s">
        <v>1575</v>
      </c>
      <c r="C3" s="46"/>
      <c r="I3" s="71" t="s">
        <v>1831</v>
      </c>
    </row>
    <row r="4" spans="1:9" x14ac:dyDescent="0.3">
      <c r="A4" s="46">
        <v>10</v>
      </c>
      <c r="B4" s="46">
        <v>115</v>
      </c>
      <c r="C4" s="46"/>
    </row>
    <row r="6" spans="1:9" x14ac:dyDescent="0.3">
      <c r="D6" t="s">
        <v>1599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1576</v>
      </c>
      <c r="B1" s="48"/>
      <c r="C1" s="48"/>
      <c r="D1" s="48"/>
      <c r="E1" s="48"/>
      <c r="F1" s="48"/>
      <c r="G1" s="48"/>
      <c r="H1" s="48"/>
      <c r="I1" s="48"/>
      <c r="J1" s="48"/>
    </row>
    <row r="2" spans="1:15" x14ac:dyDescent="0.3">
      <c r="A2" s="48" t="s">
        <v>1577</v>
      </c>
      <c r="B2" s="48" t="s">
        <v>1578</v>
      </c>
      <c r="C2" s="48" t="s">
        <v>1579</v>
      </c>
      <c r="D2" s="48" t="s">
        <v>1580</v>
      </c>
      <c r="E2" s="48" t="s">
        <v>1581</v>
      </c>
      <c r="F2" s="48" t="s">
        <v>1559</v>
      </c>
      <c r="G2" s="48" t="s">
        <v>1582</v>
      </c>
      <c r="H2" s="48" t="s">
        <v>1583</v>
      </c>
      <c r="I2" s="48" t="s">
        <v>1584</v>
      </c>
      <c r="J2" s="48" t="s">
        <v>1585</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1586</v>
      </c>
      <c r="B4" s="50" t="s">
        <v>1587</v>
      </c>
      <c r="C4" s="50" t="s">
        <v>1588</v>
      </c>
      <c r="D4" s="50" t="s">
        <v>1589</v>
      </c>
      <c r="E4" s="50" t="s">
        <v>1590</v>
      </c>
      <c r="F4" s="50" t="s">
        <v>1591</v>
      </c>
      <c r="G4" s="50" t="s">
        <v>1592</v>
      </c>
      <c r="H4" s="50" t="s">
        <v>1593</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1594</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1498</v>
      </c>
      <c r="B10" s="49" t="s">
        <v>1499</v>
      </c>
      <c r="C10" s="49" t="s">
        <v>1501</v>
      </c>
      <c r="D10" s="49" t="s">
        <v>1502</v>
      </c>
      <c r="E10" s="49" t="s">
        <v>1504</v>
      </c>
      <c r="F10" s="49" t="s">
        <v>1505</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1595</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1596</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1597</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1600</v>
      </c>
      <c r="B1" s="51"/>
      <c r="C1" s="51"/>
      <c r="D1" s="51"/>
    </row>
    <row r="2" spans="1:9" x14ac:dyDescent="0.3">
      <c r="A2" s="52" t="s">
        <v>17</v>
      </c>
      <c r="B2" s="51"/>
      <c r="C2" s="51"/>
      <c r="D2" s="51"/>
      <c r="I2" t="s">
        <v>1832</v>
      </c>
    </row>
    <row r="3" spans="1:9" x14ac:dyDescent="0.3">
      <c r="A3" s="51" t="s">
        <v>1601</v>
      </c>
      <c r="B3" s="51"/>
      <c r="C3" s="51"/>
      <c r="D3" s="51"/>
      <c r="I3" s="71" t="s">
        <v>1831</v>
      </c>
    </row>
    <row r="4" spans="1:9" x14ac:dyDescent="0.3">
      <c r="A4" s="52">
        <v>1</v>
      </c>
      <c r="B4" s="51"/>
      <c r="C4" s="51"/>
      <c r="D4" s="51"/>
    </row>
    <row r="5" spans="1:9" x14ac:dyDescent="0.3">
      <c r="A5" s="51" t="s">
        <v>1604</v>
      </c>
      <c r="B5" s="51" t="s">
        <v>1605</v>
      </c>
      <c r="C5" s="51" t="s">
        <v>1608</v>
      </c>
      <c r="D5" s="51"/>
    </row>
    <row r="6" spans="1:9" x14ac:dyDescent="0.3">
      <c r="A6" s="52" t="s">
        <v>1603</v>
      </c>
      <c r="B6" s="52">
        <v>1</v>
      </c>
      <c r="C6" s="52" t="s">
        <v>1607</v>
      </c>
      <c r="D6" s="51"/>
    </row>
    <row r="7" spans="1:9" x14ac:dyDescent="0.3">
      <c r="A7" s="51" t="s">
        <v>1606</v>
      </c>
      <c r="B7" s="51"/>
      <c r="C7" s="51"/>
      <c r="D7" s="51"/>
    </row>
    <row r="8" spans="1:9" x14ac:dyDescent="0.3">
      <c r="A8" s="52">
        <v>2</v>
      </c>
      <c r="B8" s="51"/>
      <c r="C8" s="51"/>
      <c r="D8" s="51"/>
    </row>
    <row r="9" spans="1:9" x14ac:dyDescent="0.3">
      <c r="A9" s="51" t="s">
        <v>1602</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1671</v>
      </c>
      <c r="B1" s="43" t="s">
        <v>1672</v>
      </c>
      <c r="C1" s="43"/>
      <c r="D1" s="43"/>
      <c r="E1" s="43"/>
      <c r="F1" s="43"/>
      <c r="G1" s="43"/>
      <c r="K1" t="s">
        <v>1832</v>
      </c>
    </row>
    <row r="2" spans="1:11" x14ac:dyDescent="0.3">
      <c r="A2" s="43">
        <v>1</v>
      </c>
      <c r="B2" s="43"/>
      <c r="C2" s="43"/>
      <c r="D2" s="43"/>
      <c r="E2" s="43"/>
      <c r="F2" s="43"/>
      <c r="G2" s="43"/>
      <c r="K2" s="71" t="s">
        <v>1831</v>
      </c>
    </row>
    <row r="3" spans="1:11" x14ac:dyDescent="0.3">
      <c r="A3" s="43" t="s">
        <v>1673</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1641</v>
      </c>
      <c r="B1" s="54"/>
      <c r="C1" s="54"/>
      <c r="D1" s="54"/>
      <c r="E1" s="54"/>
      <c r="F1" s="54"/>
      <c r="G1" s="54"/>
      <c r="H1" s="54"/>
      <c r="I1" s="54"/>
      <c r="J1" s="54"/>
      <c r="K1" t="s">
        <v>1659</v>
      </c>
    </row>
    <row r="2" spans="1:19" x14ac:dyDescent="0.3">
      <c r="A2" s="54"/>
      <c r="B2" s="54"/>
      <c r="C2" s="54"/>
      <c r="D2" s="54"/>
      <c r="E2" s="54"/>
      <c r="F2" s="54"/>
      <c r="G2" s="54"/>
      <c r="H2" s="54"/>
      <c r="I2" s="54"/>
      <c r="J2" s="54"/>
    </row>
    <row r="3" spans="1:19" x14ac:dyDescent="0.3">
      <c r="A3" s="54" t="s">
        <v>1609</v>
      </c>
      <c r="B3" s="54"/>
      <c r="C3" s="54"/>
      <c r="D3" s="54"/>
      <c r="E3" s="54"/>
      <c r="F3" s="54"/>
      <c r="G3" s="54"/>
      <c r="H3" s="54"/>
      <c r="I3" s="54"/>
      <c r="J3" s="54"/>
    </row>
    <row r="4" spans="1:19" x14ac:dyDescent="0.3">
      <c r="A4" s="54"/>
      <c r="B4" s="6" t="s">
        <v>1643</v>
      </c>
      <c r="C4" s="54"/>
      <c r="D4" s="54"/>
      <c r="E4" s="54"/>
      <c r="F4" s="54"/>
      <c r="G4" s="54"/>
      <c r="H4" s="54"/>
      <c r="I4" s="54"/>
      <c r="J4" s="54"/>
    </row>
    <row r="5" spans="1:19" x14ac:dyDescent="0.3">
      <c r="A5" s="54"/>
      <c r="B5" s="6" t="s">
        <v>1644</v>
      </c>
      <c r="C5" s="54"/>
      <c r="D5" s="54"/>
      <c r="E5" s="54"/>
      <c r="F5" s="54"/>
      <c r="G5" s="54"/>
      <c r="H5" s="54"/>
      <c r="I5" s="54"/>
      <c r="J5" s="54"/>
    </row>
    <row r="6" spans="1:19" x14ac:dyDescent="0.3">
      <c r="A6" s="54"/>
      <c r="B6" s="6" t="s">
        <v>1645</v>
      </c>
      <c r="C6" s="54"/>
      <c r="D6" s="54"/>
      <c r="E6" s="54"/>
      <c r="F6" s="54"/>
      <c r="G6" s="54"/>
      <c r="H6" s="54"/>
      <c r="I6" s="54"/>
      <c r="J6" s="54"/>
    </row>
    <row r="7" spans="1:19" x14ac:dyDescent="0.3">
      <c r="A7" s="54"/>
      <c r="B7" s="6" t="s">
        <v>1646</v>
      </c>
      <c r="C7" s="54"/>
      <c r="D7" s="54"/>
      <c r="E7" s="54"/>
      <c r="F7" s="54"/>
      <c r="G7" s="54"/>
      <c r="H7" s="54"/>
      <c r="I7" s="54"/>
      <c r="J7" s="54"/>
    </row>
    <row r="8" spans="1:19" x14ac:dyDescent="0.3">
      <c r="A8" s="54"/>
      <c r="B8" s="6" t="s">
        <v>1647</v>
      </c>
      <c r="C8" s="54"/>
      <c r="D8" s="54"/>
      <c r="E8" s="54"/>
      <c r="F8" s="54"/>
      <c r="G8" s="54"/>
      <c r="H8" s="54"/>
      <c r="I8" s="54"/>
      <c r="J8" s="54"/>
      <c r="S8" s="53"/>
    </row>
    <row r="9" spans="1:19" x14ac:dyDescent="0.3">
      <c r="A9" s="54"/>
      <c r="B9" s="6" t="s">
        <v>1648</v>
      </c>
      <c r="C9" s="54"/>
      <c r="D9" s="54"/>
      <c r="E9" s="54"/>
      <c r="F9" s="54"/>
      <c r="G9" s="54"/>
      <c r="H9" s="54"/>
      <c r="I9" s="54"/>
      <c r="J9" s="54"/>
      <c r="K9" t="s">
        <v>1653</v>
      </c>
    </row>
    <row r="10" spans="1:19" x14ac:dyDescent="0.3">
      <c r="A10" s="54"/>
      <c r="B10" s="6" t="s">
        <v>1649</v>
      </c>
      <c r="C10" s="54"/>
      <c r="D10" s="54"/>
      <c r="E10" s="54"/>
      <c r="F10" s="54"/>
      <c r="G10" s="54"/>
      <c r="H10" s="54"/>
      <c r="I10" s="54"/>
      <c r="J10" s="54"/>
      <c r="K10" t="s">
        <v>1654</v>
      </c>
    </row>
    <row r="11" spans="1:19" x14ac:dyDescent="0.3">
      <c r="A11" s="54"/>
      <c r="B11" s="6" t="s">
        <v>1650</v>
      </c>
      <c r="C11" s="54"/>
      <c r="D11" s="54"/>
      <c r="E11" s="54"/>
      <c r="F11" s="54"/>
      <c r="G11" s="54"/>
      <c r="H11" s="54"/>
      <c r="I11" s="54"/>
      <c r="J11" s="54"/>
    </row>
    <row r="12" spans="1:19" x14ac:dyDescent="0.3">
      <c r="A12" s="54"/>
      <c r="B12" s="6" t="s">
        <v>1651</v>
      </c>
      <c r="C12" s="54"/>
      <c r="D12" s="54"/>
      <c r="E12" s="54"/>
      <c r="F12" s="54"/>
      <c r="G12" s="54"/>
      <c r="H12" s="54"/>
      <c r="I12" s="54"/>
      <c r="J12" s="54"/>
    </row>
    <row r="13" spans="1:19" x14ac:dyDescent="0.3">
      <c r="A13" s="54"/>
      <c r="B13" s="6" t="s">
        <v>1652</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1612</v>
      </c>
      <c r="B15" s="54" t="s">
        <v>1613</v>
      </c>
      <c r="C15" s="54" t="s">
        <v>1614</v>
      </c>
      <c r="D15" s="54" t="s">
        <v>1615</v>
      </c>
      <c r="E15" s="54" t="s">
        <v>1616</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1656</v>
      </c>
      <c r="B18" s="54" t="s">
        <v>1618</v>
      </c>
      <c r="C18" s="54" t="s">
        <v>1619</v>
      </c>
      <c r="D18" s="55"/>
      <c r="E18" s="54"/>
      <c r="F18" s="54"/>
      <c r="G18" s="54"/>
      <c r="H18" s="54"/>
      <c r="I18" s="54"/>
      <c r="J18" s="54"/>
    </row>
    <row r="19" spans="1:11" x14ac:dyDescent="0.3">
      <c r="A19" s="54" t="s">
        <v>1620</v>
      </c>
      <c r="B19" s="6" t="s">
        <v>1657</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1617</v>
      </c>
      <c r="B21" s="54" t="s">
        <v>1622</v>
      </c>
      <c r="C21" s="54" t="s">
        <v>1623</v>
      </c>
      <c r="D21" s="54" t="s">
        <v>1624</v>
      </c>
      <c r="E21" s="54" t="s">
        <v>1625</v>
      </c>
      <c r="F21" s="54" t="s">
        <v>1626</v>
      </c>
      <c r="G21" s="54" t="s">
        <v>1627</v>
      </c>
      <c r="H21" s="54" t="s">
        <v>1628</v>
      </c>
      <c r="I21" s="54" t="s">
        <v>1629</v>
      </c>
      <c r="J21" s="54"/>
    </row>
    <row r="22" spans="1:11" x14ac:dyDescent="0.3">
      <c r="A22" s="54" t="s">
        <v>1630</v>
      </c>
      <c r="B22" s="6">
        <v>-1</v>
      </c>
      <c r="C22" s="6">
        <v>231.3</v>
      </c>
      <c r="D22" s="6">
        <v>0</v>
      </c>
      <c r="E22" s="6">
        <v>269.13</v>
      </c>
      <c r="F22" s="6" t="s">
        <v>2</v>
      </c>
      <c r="G22" s="6" t="s">
        <v>1621</v>
      </c>
      <c r="H22" s="6">
        <v>0</v>
      </c>
      <c r="I22" s="6">
        <v>110</v>
      </c>
      <c r="J22" s="54"/>
    </row>
    <row r="23" spans="1:11" x14ac:dyDescent="0.3">
      <c r="A23" s="54"/>
      <c r="B23" s="54"/>
      <c r="C23" s="54"/>
      <c r="D23" s="54"/>
      <c r="E23" s="54"/>
      <c r="F23" s="54"/>
      <c r="G23" s="54"/>
      <c r="H23" s="54"/>
      <c r="I23" s="54"/>
      <c r="J23" s="54"/>
    </row>
    <row r="24" spans="1:11" x14ac:dyDescent="0.3">
      <c r="A24" s="54" t="s">
        <v>1640</v>
      </c>
      <c r="B24" s="54" t="s">
        <v>1631</v>
      </c>
      <c r="C24" s="54" t="s">
        <v>1632</v>
      </c>
      <c r="D24" s="54" t="s">
        <v>1633</v>
      </c>
      <c r="E24" s="54" t="s">
        <v>1634</v>
      </c>
      <c r="F24" s="54" t="s">
        <v>1635</v>
      </c>
      <c r="G24" s="54" t="s">
        <v>1632</v>
      </c>
      <c r="H24" s="54" t="s">
        <v>1633</v>
      </c>
      <c r="I24" s="54" t="s">
        <v>1634</v>
      </c>
      <c r="J24" s="54" t="s">
        <v>1635</v>
      </c>
    </row>
    <row r="25" spans="1:11" x14ac:dyDescent="0.3">
      <c r="A25" s="56" t="s">
        <v>1630</v>
      </c>
      <c r="B25" s="6">
        <v>3</v>
      </c>
      <c r="C25" s="6">
        <v>1</v>
      </c>
      <c r="D25" s="6">
        <v>1</v>
      </c>
      <c r="E25" s="6">
        <v>0.67100000000000004</v>
      </c>
      <c r="F25" s="6">
        <v>23.5</v>
      </c>
      <c r="G25" s="6">
        <v>400</v>
      </c>
      <c r="H25" s="6">
        <v>0</v>
      </c>
      <c r="I25" s="6">
        <v>-0.02</v>
      </c>
      <c r="J25" s="6">
        <v>0</v>
      </c>
    </row>
    <row r="26" spans="1:11" x14ac:dyDescent="0.3">
      <c r="A26" s="56" t="s">
        <v>1657</v>
      </c>
      <c r="B26" s="6">
        <v>1</v>
      </c>
      <c r="C26" s="6">
        <v>95.790999999999997</v>
      </c>
      <c r="D26" s="6">
        <v>1.07193</v>
      </c>
      <c r="E26" s="6">
        <v>178.852</v>
      </c>
      <c r="F26" s="6">
        <v>-0.51</v>
      </c>
      <c r="G26" s="55"/>
      <c r="H26" s="55"/>
      <c r="I26" s="55"/>
      <c r="J26" s="55"/>
      <c r="K26" s="3" t="s">
        <v>1658</v>
      </c>
    </row>
    <row r="27" spans="1:11" x14ac:dyDescent="0.3">
      <c r="A27" s="54"/>
      <c r="B27" s="54"/>
      <c r="C27" s="54"/>
      <c r="D27" s="54"/>
      <c r="E27" s="54"/>
      <c r="F27" s="54"/>
      <c r="G27" s="54"/>
      <c r="H27" s="54"/>
      <c r="I27" s="54"/>
      <c r="J27" s="54"/>
    </row>
    <row r="28" spans="1:11" x14ac:dyDescent="0.3">
      <c r="A28" s="54" t="s">
        <v>1639</v>
      </c>
      <c r="B28" s="54" t="s">
        <v>1636</v>
      </c>
      <c r="C28" s="54" t="s">
        <v>1637</v>
      </c>
      <c r="D28" s="54" t="s">
        <v>1638</v>
      </c>
      <c r="E28" s="54" t="s">
        <v>1637</v>
      </c>
      <c r="F28" s="54" t="s">
        <v>1638</v>
      </c>
      <c r="G28" s="54"/>
      <c r="H28" s="54"/>
      <c r="I28" s="54"/>
      <c r="J28" s="54"/>
    </row>
    <row r="29" spans="1:11" x14ac:dyDescent="0.3">
      <c r="A29" s="54" t="s">
        <v>1630</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1610</v>
      </c>
      <c r="B31" s="54"/>
      <c r="C31" s="54"/>
      <c r="D31" s="54"/>
      <c r="E31" s="54"/>
      <c r="F31" s="54"/>
      <c r="G31" s="54"/>
      <c r="H31" s="54"/>
      <c r="I31" s="54"/>
      <c r="J31" s="54"/>
    </row>
    <row r="32" spans="1:11" x14ac:dyDescent="0.3">
      <c r="A32" s="54" t="s">
        <v>1630</v>
      </c>
      <c r="B32" s="6" t="s">
        <v>1642</v>
      </c>
      <c r="C32" s="54"/>
      <c r="D32" s="54"/>
      <c r="E32" s="54"/>
      <c r="F32" s="54"/>
      <c r="G32" s="54"/>
      <c r="H32" s="54"/>
      <c r="I32" s="54"/>
      <c r="J32" s="54"/>
      <c r="K32" t="s">
        <v>1655</v>
      </c>
    </row>
    <row r="33" spans="1:10" x14ac:dyDescent="0.3">
      <c r="A33" s="54"/>
      <c r="B33" s="54"/>
      <c r="C33" s="54"/>
      <c r="D33" s="54"/>
      <c r="E33" s="54"/>
      <c r="F33" s="54"/>
      <c r="G33" s="54"/>
      <c r="H33" s="54"/>
      <c r="I33" s="54"/>
      <c r="J33" s="54"/>
    </row>
    <row r="35" spans="1:10" x14ac:dyDescent="0.3">
      <c r="A35" t="s">
        <v>1611</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6" t="s">
        <v>2444</v>
      </c>
      <c r="B1" s="36"/>
      <c r="C1" s="36"/>
      <c r="D1" s="36"/>
      <c r="E1" s="36"/>
      <c r="F1" s="36"/>
      <c r="G1" s="36"/>
      <c r="H1" s="36"/>
      <c r="I1" s="36"/>
      <c r="J1" s="36"/>
      <c r="K1" s="36"/>
      <c r="L1" s="36"/>
      <c r="M1" s="36"/>
      <c r="N1" s="36"/>
      <c r="O1" s="36"/>
      <c r="P1" s="36"/>
      <c r="Q1" s="36"/>
      <c r="R1" s="36"/>
      <c r="S1" s="36"/>
      <c r="T1" s="36"/>
    </row>
    <row r="2" spans="1:20" x14ac:dyDescent="0.3">
      <c r="A2" s="36" t="s">
        <v>2445</v>
      </c>
      <c r="B2" s="36"/>
      <c r="C2" s="36"/>
      <c r="D2" s="36"/>
      <c r="E2" s="36"/>
      <c r="F2" s="36"/>
      <c r="G2" s="36"/>
      <c r="H2" s="36"/>
      <c r="I2" s="36"/>
      <c r="J2" s="36"/>
      <c r="K2" s="36"/>
      <c r="L2" s="36"/>
      <c r="M2" s="36"/>
      <c r="N2" s="36"/>
      <c r="O2" s="36"/>
      <c r="P2" s="36"/>
      <c r="Q2" s="36"/>
      <c r="R2" s="36"/>
      <c r="S2" s="36"/>
      <c r="T2" s="36"/>
    </row>
    <row r="3" spans="1:20" x14ac:dyDescent="0.3">
      <c r="A3" s="36" t="s">
        <v>0</v>
      </c>
      <c r="B3" s="36" t="s">
        <v>2446</v>
      </c>
      <c r="C3" s="36"/>
      <c r="D3" s="36"/>
      <c r="E3" s="36"/>
      <c r="F3" s="36"/>
      <c r="G3" s="36"/>
      <c r="H3" s="36"/>
      <c r="I3" s="36"/>
      <c r="J3" s="36"/>
      <c r="K3" s="36"/>
      <c r="L3" s="36"/>
      <c r="M3" s="36"/>
      <c r="N3" s="36"/>
      <c r="O3" s="36"/>
      <c r="P3" s="36"/>
      <c r="Q3" s="36"/>
      <c r="R3" s="36"/>
      <c r="S3" s="36"/>
      <c r="T3" s="36"/>
    </row>
    <row r="4" spans="1:20" x14ac:dyDescent="0.3">
      <c r="A4" s="36">
        <v>1</v>
      </c>
      <c r="B4" s="6" t="s">
        <v>2447</v>
      </c>
      <c r="C4" s="36"/>
      <c r="D4" s="36"/>
      <c r="E4" s="36"/>
      <c r="F4" s="36"/>
      <c r="G4" s="36"/>
      <c r="H4" s="36"/>
      <c r="I4" s="36"/>
      <c r="J4" s="36"/>
      <c r="K4" s="36"/>
      <c r="L4" s="36"/>
      <c r="M4" s="36"/>
      <c r="N4" s="36"/>
      <c r="O4" s="36"/>
      <c r="P4" s="36"/>
      <c r="Q4" s="36"/>
      <c r="R4" s="36"/>
      <c r="S4" s="36"/>
      <c r="T4" s="36"/>
    </row>
    <row r="5" spans="1:20" x14ac:dyDescent="0.3">
      <c r="A5" s="36">
        <v>2</v>
      </c>
      <c r="B5" s="6" t="s">
        <v>2448</v>
      </c>
      <c r="C5" s="36"/>
      <c r="D5" s="36"/>
      <c r="E5" s="36"/>
      <c r="F5" s="36"/>
      <c r="G5" s="36"/>
      <c r="H5" s="36"/>
      <c r="I5" s="36"/>
      <c r="J5" s="36"/>
      <c r="K5" s="36"/>
      <c r="L5" s="36"/>
      <c r="M5" s="36"/>
      <c r="N5" s="36"/>
      <c r="O5" s="36"/>
      <c r="P5" s="36"/>
      <c r="Q5" s="36"/>
      <c r="R5" s="36"/>
      <c r="S5" s="36"/>
      <c r="T5" s="36"/>
    </row>
    <row r="6" spans="1:20" x14ac:dyDescent="0.3">
      <c r="A6" s="36">
        <v>3</v>
      </c>
      <c r="B6" s="6" t="s">
        <v>2449</v>
      </c>
      <c r="C6" s="36"/>
      <c r="D6" s="36"/>
      <c r="E6" s="36"/>
      <c r="F6" s="36"/>
      <c r="G6" s="36"/>
      <c r="H6" s="36"/>
      <c r="I6" s="36"/>
      <c r="J6" s="36"/>
      <c r="K6" s="36"/>
      <c r="L6" s="36"/>
      <c r="M6" s="36"/>
      <c r="N6" s="36"/>
      <c r="O6" s="36"/>
      <c r="P6" s="36"/>
      <c r="Q6" s="36"/>
      <c r="R6" s="36"/>
      <c r="S6" s="36"/>
      <c r="T6" s="36"/>
    </row>
    <row r="7" spans="1:20" x14ac:dyDescent="0.3">
      <c r="A7" s="36">
        <v>4</v>
      </c>
      <c r="B7" s="6" t="s">
        <v>2450</v>
      </c>
      <c r="C7" s="36"/>
      <c r="D7" s="36"/>
      <c r="E7" s="36"/>
      <c r="F7" s="36"/>
      <c r="G7" s="36"/>
      <c r="H7" s="36"/>
      <c r="I7" s="36"/>
      <c r="J7" s="36"/>
      <c r="K7" s="36"/>
      <c r="L7" s="36"/>
      <c r="M7" s="36"/>
      <c r="N7" s="36"/>
      <c r="O7" s="36"/>
      <c r="P7" s="36"/>
      <c r="Q7" s="36"/>
      <c r="R7" s="36"/>
      <c r="S7" s="36"/>
      <c r="T7" s="36"/>
    </row>
    <row r="8" spans="1:20" x14ac:dyDescent="0.3">
      <c r="A8" s="36">
        <v>5</v>
      </c>
      <c r="B8" s="6" t="s">
        <v>2451</v>
      </c>
      <c r="C8" s="36"/>
      <c r="D8" s="36"/>
      <c r="E8" s="36"/>
      <c r="F8" s="36"/>
      <c r="G8" s="36"/>
      <c r="H8" s="36"/>
      <c r="I8" s="36"/>
      <c r="J8" s="36"/>
      <c r="K8" s="36"/>
      <c r="L8" s="36"/>
      <c r="M8" s="36"/>
      <c r="N8" s="36"/>
      <c r="O8" s="36"/>
      <c r="P8" s="36"/>
      <c r="Q8" s="36"/>
      <c r="R8" s="36"/>
      <c r="S8" s="36"/>
      <c r="T8" s="36"/>
    </row>
    <row r="9" spans="1:20" x14ac:dyDescent="0.3">
      <c r="A9" s="36">
        <v>6</v>
      </c>
      <c r="B9" s="6" t="s">
        <v>2452</v>
      </c>
      <c r="C9" s="36"/>
      <c r="D9" s="36"/>
      <c r="E9" s="36"/>
      <c r="F9" s="36"/>
      <c r="G9" s="36"/>
      <c r="H9" s="36"/>
      <c r="I9" s="36"/>
      <c r="J9" s="36"/>
      <c r="K9" s="36"/>
      <c r="L9" s="36"/>
      <c r="M9" s="36"/>
      <c r="N9" s="36"/>
      <c r="O9" s="36"/>
      <c r="P9" s="36"/>
      <c r="Q9" s="36"/>
      <c r="R9" s="36"/>
      <c r="S9" s="36"/>
      <c r="T9" s="36"/>
    </row>
    <row r="10" spans="1:20" x14ac:dyDescent="0.3">
      <c r="A10" s="36">
        <v>7</v>
      </c>
      <c r="B10" s="6" t="s">
        <v>2453</v>
      </c>
      <c r="C10" s="36"/>
      <c r="D10" s="36"/>
      <c r="E10" s="36"/>
      <c r="F10" s="36"/>
      <c r="G10" s="36"/>
      <c r="H10" s="36"/>
      <c r="I10" s="36"/>
      <c r="J10" s="36"/>
      <c r="K10" s="36"/>
      <c r="L10" s="36"/>
      <c r="M10" s="36"/>
      <c r="N10" s="36"/>
      <c r="O10" s="36"/>
      <c r="P10" s="36"/>
      <c r="Q10" s="36"/>
      <c r="R10" s="36"/>
      <c r="S10" s="36"/>
      <c r="T10" s="36"/>
    </row>
    <row r="11" spans="1:20" x14ac:dyDescent="0.3">
      <c r="A11" s="36">
        <v>8</v>
      </c>
      <c r="B11" s="6" t="s">
        <v>2454</v>
      </c>
      <c r="C11" s="36"/>
      <c r="D11" s="36"/>
      <c r="E11" s="36"/>
      <c r="F11" s="36"/>
      <c r="G11" s="36"/>
      <c r="H11" s="36"/>
      <c r="I11" s="36"/>
      <c r="J11" s="36"/>
      <c r="K11" s="36"/>
      <c r="L11" s="36"/>
      <c r="M11" s="36"/>
      <c r="N11" s="36"/>
      <c r="O11" s="36"/>
      <c r="P11" s="36"/>
      <c r="Q11" s="36"/>
      <c r="R11" s="36"/>
      <c r="S11" s="36"/>
      <c r="T11" s="36"/>
    </row>
    <row r="12" spans="1:20" x14ac:dyDescent="0.3">
      <c r="A12" s="36">
        <v>9</v>
      </c>
      <c r="B12" s="6" t="s">
        <v>2455</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2456</v>
      </c>
      <c r="B15" s="36" t="s">
        <v>2457</v>
      </c>
      <c r="C15" s="36" t="s">
        <v>2458</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2456</v>
      </c>
      <c r="B18" s="36" t="s">
        <v>1529</v>
      </c>
      <c r="C18" s="36" t="s">
        <v>1530</v>
      </c>
      <c r="D18" s="36" t="s">
        <v>1531</v>
      </c>
      <c r="E18" s="36" t="s">
        <v>1551</v>
      </c>
      <c r="F18" s="36" t="s">
        <v>2459</v>
      </c>
      <c r="G18" s="36" t="s">
        <v>2460</v>
      </c>
      <c r="H18" s="36" t="s">
        <v>2461</v>
      </c>
      <c r="I18" s="36" t="s">
        <v>2462</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2463</v>
      </c>
      <c r="B21" s="36" t="s">
        <v>2464</v>
      </c>
      <c r="C21" s="36" t="s">
        <v>2465</v>
      </c>
      <c r="D21" s="36" t="s">
        <v>2466</v>
      </c>
      <c r="E21" s="36" t="s">
        <v>2467</v>
      </c>
      <c r="F21" s="36" t="s">
        <v>2468</v>
      </c>
      <c r="G21" s="36" t="s">
        <v>2469</v>
      </c>
      <c r="H21" s="36" t="s">
        <v>2470</v>
      </c>
      <c r="I21" s="36" t="s">
        <v>2471</v>
      </c>
      <c r="J21" s="36" t="s">
        <v>2472</v>
      </c>
      <c r="K21" s="36" t="s">
        <v>2473</v>
      </c>
      <c r="L21" s="36" t="s">
        <v>2474</v>
      </c>
      <c r="M21" s="36" t="s">
        <v>2475</v>
      </c>
      <c r="N21" s="36" t="s">
        <v>2476</v>
      </c>
      <c r="O21" s="36" t="s">
        <v>2477</v>
      </c>
      <c r="P21" s="36" t="s">
        <v>2478</v>
      </c>
      <c r="Q21" s="36" t="s">
        <v>2479</v>
      </c>
      <c r="R21" s="36" t="s">
        <v>2480</v>
      </c>
      <c r="S21" s="36" t="s">
        <v>2481</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2482</v>
      </c>
      <c r="B24" s="36" t="s">
        <v>2483</v>
      </c>
      <c r="C24" s="36" t="s">
        <v>2484</v>
      </c>
      <c r="D24" s="36" t="s">
        <v>2485</v>
      </c>
      <c r="E24" s="36" t="s">
        <v>2486</v>
      </c>
      <c r="F24" s="36" t="s">
        <v>2487</v>
      </c>
      <c r="G24" s="36" t="s">
        <v>2488</v>
      </c>
      <c r="H24" s="36" t="s">
        <v>2489</v>
      </c>
      <c r="I24" s="36" t="s">
        <v>2490</v>
      </c>
      <c r="J24" s="36" t="s">
        <v>2491</v>
      </c>
      <c r="K24" s="36" t="s">
        <v>2492</v>
      </c>
      <c r="L24" s="36" t="s">
        <v>2483</v>
      </c>
      <c r="M24" s="36" t="s">
        <v>2484</v>
      </c>
      <c r="N24" s="36" t="s">
        <v>2485</v>
      </c>
      <c r="O24" s="36" t="s">
        <v>2486</v>
      </c>
      <c r="P24" s="36" t="s">
        <v>2487</v>
      </c>
      <c r="Q24" s="36" t="s">
        <v>2488</v>
      </c>
      <c r="R24" s="36" t="s">
        <v>2489</v>
      </c>
      <c r="S24" s="36" t="s">
        <v>2490</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2493</v>
      </c>
      <c r="B27" s="36" t="s">
        <v>2494</v>
      </c>
      <c r="C27" s="36" t="s">
        <v>2498</v>
      </c>
      <c r="D27" s="36" t="s">
        <v>2499</v>
      </c>
      <c r="E27" s="36" t="s">
        <v>2500</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2495</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2496</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1986</v>
      </c>
      <c r="B3" s="52" t="s">
        <v>1985</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2504</v>
      </c>
      <c r="B1" s="36" t="s">
        <v>2505</v>
      </c>
      <c r="C1" s="36" t="s">
        <v>2506</v>
      </c>
      <c r="D1" s="36"/>
      <c r="E1" s="36"/>
      <c r="F1" s="36"/>
      <c r="G1" s="36"/>
    </row>
    <row r="2" spans="1:8" x14ac:dyDescent="0.3">
      <c r="A2" s="8" t="s">
        <v>2507</v>
      </c>
      <c r="B2" s="6" t="s">
        <v>2</v>
      </c>
      <c r="C2" s="1" t="s">
        <v>2</v>
      </c>
      <c r="D2" s="36"/>
      <c r="E2" s="36"/>
      <c r="F2" s="36"/>
      <c r="G2" s="36"/>
      <c r="H2" t="s">
        <v>2508</v>
      </c>
    </row>
    <row r="3" spans="1:8" x14ac:dyDescent="0.3">
      <c r="A3" s="8" t="s">
        <v>1844</v>
      </c>
      <c r="B3" s="76" t="s">
        <v>83</v>
      </c>
      <c r="C3" s="76" t="s">
        <v>84</v>
      </c>
      <c r="D3" s="76" t="s">
        <v>85</v>
      </c>
      <c r="E3" s="76" t="s">
        <v>1054</v>
      </c>
      <c r="F3" s="76" t="s">
        <v>1055</v>
      </c>
      <c r="G3" s="76" t="s">
        <v>1056</v>
      </c>
      <c r="H3" s="108" t="s">
        <v>2509</v>
      </c>
    </row>
    <row r="4" spans="1:8" x14ac:dyDescent="0.3">
      <c r="A4" s="8" t="s">
        <v>2510</v>
      </c>
      <c r="B4" s="6">
        <v>0.5</v>
      </c>
      <c r="C4" s="6">
        <v>0.25</v>
      </c>
      <c r="D4" s="6">
        <v>0.3</v>
      </c>
      <c r="E4" s="6"/>
      <c r="F4" s="6"/>
      <c r="G4" s="6"/>
      <c r="H4" t="s">
        <v>2511</v>
      </c>
    </row>
    <row r="5" spans="1:8" x14ac:dyDescent="0.3">
      <c r="A5" s="8" t="s">
        <v>2512</v>
      </c>
      <c r="B5" s="6">
        <v>0.1</v>
      </c>
      <c r="C5" s="6">
        <v>0.2</v>
      </c>
      <c r="D5" s="6">
        <v>0.2</v>
      </c>
      <c r="E5" s="6"/>
      <c r="F5" s="6"/>
      <c r="G5" s="6"/>
    </row>
    <row r="6" spans="1:8" x14ac:dyDescent="0.3">
      <c r="A6" s="8" t="s">
        <v>2513</v>
      </c>
      <c r="B6" s="6">
        <v>0.5</v>
      </c>
      <c r="C6" s="19"/>
      <c r="D6" s="19"/>
      <c r="E6" s="19"/>
      <c r="F6" s="19"/>
      <c r="G6" s="19"/>
      <c r="H6" t="s">
        <v>2514</v>
      </c>
    </row>
    <row r="7" spans="1:8" x14ac:dyDescent="0.3">
      <c r="A7" s="8" t="s">
        <v>2515</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2516</v>
      </c>
      <c r="B9" s="6">
        <v>1</v>
      </c>
      <c r="C9" s="6">
        <v>0</v>
      </c>
      <c r="D9" s="6">
        <v>0</v>
      </c>
      <c r="E9" s="6"/>
      <c r="F9" s="6"/>
      <c r="G9" s="6"/>
    </row>
    <row r="10" spans="1:8" x14ac:dyDescent="0.3">
      <c r="A10" s="8" t="s">
        <v>2517</v>
      </c>
      <c r="B10" s="6">
        <v>0.25</v>
      </c>
      <c r="C10" s="6">
        <v>0.2</v>
      </c>
      <c r="D10" s="6">
        <v>0.2</v>
      </c>
      <c r="E10" s="6"/>
      <c r="F10" s="6"/>
      <c r="G10" s="6"/>
    </row>
    <row r="11" spans="1:8" x14ac:dyDescent="0.3">
      <c r="A11" s="8" t="s">
        <v>2518</v>
      </c>
      <c r="B11" s="6">
        <v>0.5</v>
      </c>
      <c r="C11" s="19"/>
      <c r="D11" s="19"/>
      <c r="E11" s="19"/>
      <c r="F11" s="19"/>
      <c r="G11" s="19"/>
    </row>
    <row r="12" spans="1:8" x14ac:dyDescent="0.3">
      <c r="A12" s="8" t="s">
        <v>2519</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2514</v>
      </c>
    </row>
    <row r="14" spans="1:8" x14ac:dyDescent="0.3">
      <c r="A14" s="8" t="s">
        <v>2520</v>
      </c>
      <c r="B14" s="6">
        <v>0.5</v>
      </c>
      <c r="C14" s="6">
        <v>0.25</v>
      </c>
      <c r="D14" s="6">
        <v>0.3</v>
      </c>
      <c r="E14" s="6"/>
      <c r="F14" s="6"/>
      <c r="G14" s="6"/>
    </row>
    <row r="15" spans="1:8" x14ac:dyDescent="0.3">
      <c r="A15" s="8" t="s">
        <v>2521</v>
      </c>
      <c r="B15" s="6">
        <v>0.1</v>
      </c>
      <c r="C15" s="6">
        <v>0.2</v>
      </c>
      <c r="D15" s="6">
        <v>0.2</v>
      </c>
      <c r="E15" s="6"/>
      <c r="F15" s="6"/>
      <c r="G15" s="6"/>
    </row>
    <row r="16" spans="1:8" x14ac:dyDescent="0.3">
      <c r="A16" s="8" t="s">
        <v>2522</v>
      </c>
      <c r="B16" s="6">
        <v>0.5</v>
      </c>
      <c r="C16" s="19"/>
      <c r="D16" s="19"/>
      <c r="E16" s="19"/>
      <c r="F16" s="19"/>
      <c r="G16" s="19"/>
    </row>
    <row r="17" spans="1:18" x14ac:dyDescent="0.3">
      <c r="A17" s="8" t="s">
        <v>2523</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2524</v>
      </c>
      <c r="B19" s="6">
        <v>0.5</v>
      </c>
      <c r="C19" s="6">
        <v>0.25</v>
      </c>
      <c r="D19" s="6">
        <v>0.3</v>
      </c>
      <c r="E19" s="6"/>
      <c r="F19" s="6"/>
      <c r="G19" s="6"/>
      <c r="R19" s="80" t="s">
        <v>1850</v>
      </c>
    </row>
    <row r="20" spans="1:18" x14ac:dyDescent="0.3">
      <c r="A20" s="8" t="s">
        <v>2525</v>
      </c>
      <c r="B20" s="6">
        <v>0.1</v>
      </c>
      <c r="C20" s="6">
        <v>0.2</v>
      </c>
      <c r="D20" s="6">
        <v>0.2</v>
      </c>
      <c r="E20" s="6"/>
      <c r="F20" s="6"/>
      <c r="G20" s="6"/>
      <c r="H20" t="s">
        <v>2514</v>
      </c>
      <c r="R20" s="80" t="s">
        <v>1851</v>
      </c>
    </row>
    <row r="21" spans="1:18" x14ac:dyDescent="0.3">
      <c r="A21" s="8" t="s">
        <v>2526</v>
      </c>
      <c r="B21" s="6">
        <v>0.5</v>
      </c>
      <c r="C21" s="19"/>
      <c r="D21" s="19"/>
      <c r="E21" s="19"/>
      <c r="F21" s="19"/>
      <c r="G21" s="19"/>
      <c r="R21" s="80" t="s">
        <v>1852</v>
      </c>
    </row>
    <row r="22" spans="1:18" x14ac:dyDescent="0.3">
      <c r="A22" s="8" t="s">
        <v>2527</v>
      </c>
      <c r="B22" s="6">
        <v>0.1</v>
      </c>
      <c r="C22" s="19"/>
      <c r="D22" s="19"/>
      <c r="E22" s="19"/>
      <c r="F22" s="19"/>
      <c r="G22" s="19"/>
      <c r="R22" s="80" t="s">
        <v>1853</v>
      </c>
    </row>
    <row r="23" spans="1:18" x14ac:dyDescent="0.3">
      <c r="R23" s="80" t="s">
        <v>1854</v>
      </c>
    </row>
    <row r="24" spans="1:18" x14ac:dyDescent="0.3">
      <c r="A24" s="109" t="s">
        <v>2528</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2529</v>
      </c>
    </row>
    <row r="33" spans="1:1" x14ac:dyDescent="0.3">
      <c r="A33" t="s">
        <v>2530</v>
      </c>
    </row>
    <row r="34" spans="1:1" x14ac:dyDescent="0.3">
      <c r="A34" s="114" t="s">
        <v>2545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2280</v>
      </c>
      <c r="K2" t="s">
        <v>2367</v>
      </c>
    </row>
    <row r="3" spans="1:15" x14ac:dyDescent="0.3">
      <c r="K3" t="s">
        <v>2368</v>
      </c>
    </row>
    <row r="4" spans="1:15" x14ac:dyDescent="0.3">
      <c r="A4" t="s">
        <v>2281</v>
      </c>
      <c r="J4">
        <v>1</v>
      </c>
      <c r="K4" t="s">
        <v>2339</v>
      </c>
      <c r="O4" t="s">
        <v>2327</v>
      </c>
    </row>
    <row r="5" spans="1:15" x14ac:dyDescent="0.3">
      <c r="A5" t="s">
        <v>2282</v>
      </c>
      <c r="J5">
        <v>2</v>
      </c>
      <c r="K5" t="s">
        <v>2340</v>
      </c>
      <c r="O5" t="s">
        <v>2328</v>
      </c>
    </row>
    <row r="6" spans="1:15" x14ac:dyDescent="0.3">
      <c r="A6" t="s">
        <v>2283</v>
      </c>
      <c r="J6">
        <v>3</v>
      </c>
      <c r="K6" t="s">
        <v>2341</v>
      </c>
      <c r="O6" t="s">
        <v>2329</v>
      </c>
    </row>
    <row r="7" spans="1:15" x14ac:dyDescent="0.3">
      <c r="A7" t="s">
        <v>2284</v>
      </c>
      <c r="J7">
        <v>4</v>
      </c>
      <c r="K7" t="s">
        <v>2342</v>
      </c>
      <c r="O7" t="s">
        <v>2330</v>
      </c>
    </row>
    <row r="8" spans="1:15" x14ac:dyDescent="0.3">
      <c r="A8" t="s">
        <v>2285</v>
      </c>
      <c r="J8">
        <v>5</v>
      </c>
      <c r="K8" t="s">
        <v>2343</v>
      </c>
      <c r="O8" t="s">
        <v>2331</v>
      </c>
    </row>
    <row r="9" spans="1:15" x14ac:dyDescent="0.3">
      <c r="A9" t="s">
        <v>2286</v>
      </c>
      <c r="J9">
        <v>6</v>
      </c>
      <c r="K9" t="s">
        <v>2344</v>
      </c>
      <c r="O9" t="s">
        <v>2332</v>
      </c>
    </row>
    <row r="10" spans="1:15" x14ac:dyDescent="0.3">
      <c r="A10" t="s">
        <v>2287</v>
      </c>
      <c r="J10">
        <v>7</v>
      </c>
      <c r="K10" t="s">
        <v>2345</v>
      </c>
      <c r="O10" t="s">
        <v>2333</v>
      </c>
    </row>
    <row r="11" spans="1:15" x14ac:dyDescent="0.3">
      <c r="A11" t="s">
        <v>2288</v>
      </c>
      <c r="J11">
        <v>8</v>
      </c>
      <c r="K11" t="s">
        <v>2346</v>
      </c>
      <c r="O11" t="s">
        <v>2334</v>
      </c>
    </row>
    <row r="12" spans="1:15" x14ac:dyDescent="0.3">
      <c r="A12" t="s">
        <v>2289</v>
      </c>
      <c r="J12">
        <v>9</v>
      </c>
      <c r="K12" t="s">
        <v>2347</v>
      </c>
      <c r="O12" t="s">
        <v>2335</v>
      </c>
    </row>
    <row r="13" spans="1:15" x14ac:dyDescent="0.3">
      <c r="A13" t="s">
        <v>2290</v>
      </c>
      <c r="J13">
        <v>10</v>
      </c>
      <c r="K13" t="s">
        <v>2348</v>
      </c>
      <c r="O13" t="s">
        <v>2336</v>
      </c>
    </row>
    <row r="14" spans="1:15" x14ac:dyDescent="0.3">
      <c r="A14" t="s">
        <v>2291</v>
      </c>
      <c r="J14">
        <v>11</v>
      </c>
      <c r="K14" t="s">
        <v>2349</v>
      </c>
      <c r="O14" t="s">
        <v>2337</v>
      </c>
    </row>
    <row r="15" spans="1:15" x14ac:dyDescent="0.3">
      <c r="A15" t="s">
        <v>2292</v>
      </c>
      <c r="J15">
        <v>12</v>
      </c>
      <c r="K15" t="s">
        <v>2350</v>
      </c>
      <c r="O15" t="s">
        <v>2338</v>
      </c>
    </row>
    <row r="16" spans="1:15" x14ac:dyDescent="0.3">
      <c r="A16" t="s">
        <v>2293</v>
      </c>
      <c r="J16">
        <v>13</v>
      </c>
      <c r="K16" t="s">
        <v>2351</v>
      </c>
      <c r="O16" t="s">
        <v>2369</v>
      </c>
    </row>
    <row r="17" spans="1:15" x14ac:dyDescent="0.3">
      <c r="A17" t="s">
        <v>2294</v>
      </c>
      <c r="J17">
        <v>14</v>
      </c>
      <c r="K17" t="s">
        <v>2352</v>
      </c>
      <c r="O17" t="s">
        <v>2370</v>
      </c>
    </row>
    <row r="18" spans="1:15" x14ac:dyDescent="0.3">
      <c r="A18" t="s">
        <v>2295</v>
      </c>
      <c r="J18">
        <v>15</v>
      </c>
      <c r="K18" t="s">
        <v>2353</v>
      </c>
      <c r="O18" t="s">
        <v>2372</v>
      </c>
    </row>
    <row r="19" spans="1:15" x14ac:dyDescent="0.3">
      <c r="A19" t="s">
        <v>2296</v>
      </c>
      <c r="J19">
        <v>16</v>
      </c>
      <c r="K19" t="s">
        <v>2354</v>
      </c>
      <c r="O19" t="s">
        <v>2373</v>
      </c>
    </row>
    <row r="20" spans="1:15" x14ac:dyDescent="0.3">
      <c r="A20" t="s">
        <v>2297</v>
      </c>
      <c r="J20">
        <v>17</v>
      </c>
      <c r="K20" t="s">
        <v>2355</v>
      </c>
      <c r="O20" t="s">
        <v>2374</v>
      </c>
    </row>
    <row r="21" spans="1:15" x14ac:dyDescent="0.3">
      <c r="A21" t="s">
        <v>2298</v>
      </c>
      <c r="J21">
        <v>18</v>
      </c>
      <c r="K21" t="s">
        <v>2356</v>
      </c>
      <c r="O21" t="s">
        <v>2375</v>
      </c>
    </row>
    <row r="22" spans="1:15" x14ac:dyDescent="0.3">
      <c r="A22" t="s">
        <v>2299</v>
      </c>
      <c r="J22">
        <v>19</v>
      </c>
      <c r="K22" t="s">
        <v>2320</v>
      </c>
      <c r="O22" t="s">
        <v>2376</v>
      </c>
    </row>
    <row r="23" spans="1:15" x14ac:dyDescent="0.3">
      <c r="A23" t="s">
        <v>2300</v>
      </c>
      <c r="J23">
        <v>20</v>
      </c>
      <c r="K23" t="s">
        <v>2319</v>
      </c>
      <c r="O23" t="s">
        <v>2377</v>
      </c>
    </row>
    <row r="24" spans="1:15" x14ac:dyDescent="0.3">
      <c r="A24" t="s">
        <v>2301</v>
      </c>
      <c r="J24">
        <v>21</v>
      </c>
      <c r="K24" t="s">
        <v>2318</v>
      </c>
      <c r="O24" t="s">
        <v>2378</v>
      </c>
    </row>
    <row r="25" spans="1:15" x14ac:dyDescent="0.3">
      <c r="A25" t="s">
        <v>2302</v>
      </c>
      <c r="J25">
        <v>22</v>
      </c>
      <c r="K25" t="s">
        <v>2321</v>
      </c>
      <c r="O25" t="s">
        <v>2379</v>
      </c>
    </row>
    <row r="26" spans="1:15" x14ac:dyDescent="0.3">
      <c r="A26" t="s">
        <v>2303</v>
      </c>
      <c r="J26">
        <v>23</v>
      </c>
      <c r="K26" t="s">
        <v>2322</v>
      </c>
    </row>
    <row r="27" spans="1:15" x14ac:dyDescent="0.3">
      <c r="A27" t="s">
        <v>2304</v>
      </c>
      <c r="J27">
        <v>24</v>
      </c>
      <c r="K27" t="s">
        <v>2323</v>
      </c>
    </row>
    <row r="28" spans="1:15" x14ac:dyDescent="0.3">
      <c r="A28" t="s">
        <v>2305</v>
      </c>
      <c r="J28">
        <v>25</v>
      </c>
      <c r="K28" t="s">
        <v>2324</v>
      </c>
    </row>
    <row r="29" spans="1:15" x14ac:dyDescent="0.3">
      <c r="A29" t="s">
        <v>2306</v>
      </c>
      <c r="J29">
        <v>26</v>
      </c>
      <c r="K29" t="s">
        <v>2325</v>
      </c>
    </row>
    <row r="30" spans="1:15" x14ac:dyDescent="0.3">
      <c r="A30" t="s">
        <v>2307</v>
      </c>
      <c r="J30">
        <v>27</v>
      </c>
      <c r="K30" t="s">
        <v>2326</v>
      </c>
    </row>
    <row r="31" spans="1:15" x14ac:dyDescent="0.3">
      <c r="A31" t="s">
        <v>2308</v>
      </c>
      <c r="J31">
        <v>28</v>
      </c>
      <c r="K31" t="s">
        <v>2357</v>
      </c>
    </row>
    <row r="32" spans="1:15" x14ac:dyDescent="0.3">
      <c r="A32" t="s">
        <v>2309</v>
      </c>
      <c r="J32">
        <v>29</v>
      </c>
      <c r="K32" t="s">
        <v>2358</v>
      </c>
    </row>
    <row r="33" spans="1:11" x14ac:dyDescent="0.3">
      <c r="A33" t="s">
        <v>2310</v>
      </c>
      <c r="J33">
        <v>30</v>
      </c>
      <c r="K33" t="s">
        <v>2359</v>
      </c>
    </row>
    <row r="34" spans="1:11" x14ac:dyDescent="0.3">
      <c r="A34" t="s">
        <v>2311</v>
      </c>
      <c r="J34">
        <v>31</v>
      </c>
      <c r="K34" t="s">
        <v>2360</v>
      </c>
    </row>
    <row r="35" spans="1:11" x14ac:dyDescent="0.3">
      <c r="A35" t="s">
        <v>2312</v>
      </c>
      <c r="J35">
        <v>32</v>
      </c>
      <c r="K35" t="s">
        <v>2361</v>
      </c>
    </row>
    <row r="36" spans="1:11" x14ac:dyDescent="0.3">
      <c r="A36" t="s">
        <v>2313</v>
      </c>
      <c r="J36">
        <v>33</v>
      </c>
      <c r="K36" t="s">
        <v>2362</v>
      </c>
    </row>
    <row r="37" spans="1:11" x14ac:dyDescent="0.3">
      <c r="A37" t="s">
        <v>2314</v>
      </c>
      <c r="J37">
        <v>34</v>
      </c>
      <c r="K37" t="s">
        <v>2363</v>
      </c>
    </row>
    <row r="38" spans="1:11" x14ac:dyDescent="0.3">
      <c r="A38" t="s">
        <v>2315</v>
      </c>
      <c r="J38">
        <v>35</v>
      </c>
      <c r="K38" t="s">
        <v>2364</v>
      </c>
    </row>
    <row r="39" spans="1:11" x14ac:dyDescent="0.3">
      <c r="A39" t="s">
        <v>2316</v>
      </c>
      <c r="J39">
        <v>36</v>
      </c>
      <c r="K39" t="s">
        <v>2365</v>
      </c>
    </row>
    <row r="40" spans="1:11" x14ac:dyDescent="0.3">
      <c r="A40" t="s">
        <v>2317</v>
      </c>
      <c r="J40">
        <v>37</v>
      </c>
      <c r="K40" t="s">
        <v>2366</v>
      </c>
    </row>
    <row r="44" spans="1:11" x14ac:dyDescent="0.3">
      <c r="B44" t="s">
        <v>2416</v>
      </c>
    </row>
    <row r="46" spans="1:11" x14ac:dyDescent="0.3">
      <c r="A46" t="s">
        <v>2380</v>
      </c>
      <c r="I46">
        <v>1</v>
      </c>
    </row>
    <row r="47" spans="1:11" x14ac:dyDescent="0.3">
      <c r="A47" t="s">
        <v>2381</v>
      </c>
      <c r="I47">
        <v>2</v>
      </c>
    </row>
    <row r="48" spans="1:11" x14ac:dyDescent="0.3">
      <c r="A48" t="s">
        <v>2382</v>
      </c>
      <c r="I48">
        <v>3</v>
      </c>
    </row>
    <row r="49" spans="1:9" x14ac:dyDescent="0.3">
      <c r="A49" t="s">
        <v>2383</v>
      </c>
      <c r="I49">
        <v>4</v>
      </c>
    </row>
    <row r="50" spans="1:9" x14ac:dyDescent="0.3">
      <c r="A50" t="s">
        <v>2384</v>
      </c>
      <c r="I50">
        <v>5</v>
      </c>
    </row>
    <row r="51" spans="1:9" x14ac:dyDescent="0.3">
      <c r="A51" t="s">
        <v>2385</v>
      </c>
      <c r="I51">
        <v>6</v>
      </c>
    </row>
    <row r="52" spans="1:9" x14ac:dyDescent="0.3">
      <c r="A52" t="s">
        <v>2386</v>
      </c>
      <c r="I52">
        <v>7</v>
      </c>
    </row>
    <row r="53" spans="1:9" x14ac:dyDescent="0.3">
      <c r="A53" t="s">
        <v>2387</v>
      </c>
      <c r="I53">
        <v>8</v>
      </c>
    </row>
    <row r="54" spans="1:9" x14ac:dyDescent="0.3">
      <c r="A54" t="s">
        <v>2388</v>
      </c>
      <c r="I54">
        <v>9</v>
      </c>
    </row>
    <row r="55" spans="1:9" x14ac:dyDescent="0.3">
      <c r="A55" t="s">
        <v>2389</v>
      </c>
      <c r="I55">
        <v>10</v>
      </c>
    </row>
    <row r="56" spans="1:9" x14ac:dyDescent="0.3">
      <c r="A56" t="s">
        <v>2390</v>
      </c>
      <c r="I56">
        <v>11</v>
      </c>
    </row>
    <row r="57" spans="1:9" x14ac:dyDescent="0.3">
      <c r="A57" t="s">
        <v>2391</v>
      </c>
      <c r="I57">
        <v>12</v>
      </c>
    </row>
    <row r="58" spans="1:9" x14ac:dyDescent="0.3">
      <c r="A58" t="s">
        <v>2392</v>
      </c>
      <c r="I58">
        <v>13</v>
      </c>
    </row>
    <row r="59" spans="1:9" x14ac:dyDescent="0.3">
      <c r="A59" t="s">
        <v>2393</v>
      </c>
      <c r="I59">
        <v>14</v>
      </c>
    </row>
    <row r="60" spans="1:9" x14ac:dyDescent="0.3">
      <c r="A60" t="s">
        <v>2394</v>
      </c>
      <c r="I60">
        <v>15</v>
      </c>
    </row>
    <row r="61" spans="1:9" x14ac:dyDescent="0.3">
      <c r="A61" t="s">
        <v>2395</v>
      </c>
      <c r="I61">
        <v>16</v>
      </c>
    </row>
    <row r="62" spans="1:9" x14ac:dyDescent="0.3">
      <c r="A62" t="s">
        <v>2396</v>
      </c>
      <c r="I62">
        <v>17</v>
      </c>
    </row>
    <row r="63" spans="1:9" x14ac:dyDescent="0.3">
      <c r="A63" t="s">
        <v>2371</v>
      </c>
    </row>
    <row r="64" spans="1:9" x14ac:dyDescent="0.3">
      <c r="A64" t="s">
        <v>2397</v>
      </c>
      <c r="H64" t="s">
        <v>2417</v>
      </c>
    </row>
    <row r="65" spans="1:1" x14ac:dyDescent="0.3">
      <c r="A65" t="s">
        <v>2398</v>
      </c>
    </row>
    <row r="66" spans="1:1" x14ac:dyDescent="0.3">
      <c r="A66" t="s">
        <v>2399</v>
      </c>
    </row>
    <row r="67" spans="1:1" x14ac:dyDescent="0.3">
      <c r="A67" t="s">
        <v>2400</v>
      </c>
    </row>
    <row r="68" spans="1:1" x14ac:dyDescent="0.3">
      <c r="A68" t="s">
        <v>2401</v>
      </c>
    </row>
    <row r="69" spans="1:1" x14ac:dyDescent="0.3">
      <c r="A69" t="s">
        <v>2402</v>
      </c>
    </row>
    <row r="70" spans="1:1" x14ac:dyDescent="0.3">
      <c r="A70" t="s">
        <v>2403</v>
      </c>
    </row>
    <row r="71" spans="1:1" x14ac:dyDescent="0.3">
      <c r="A71" t="s">
        <v>2404</v>
      </c>
    </row>
    <row r="72" spans="1:1" x14ac:dyDescent="0.3">
      <c r="A72" t="s">
        <v>2405</v>
      </c>
    </row>
    <row r="73" spans="1:1" x14ac:dyDescent="0.3">
      <c r="A73" t="s">
        <v>2406</v>
      </c>
    </row>
    <row r="74" spans="1:1" x14ac:dyDescent="0.3">
      <c r="A74" t="s">
        <v>2407</v>
      </c>
    </row>
    <row r="75" spans="1:1" x14ac:dyDescent="0.3">
      <c r="A75" t="s">
        <v>2408</v>
      </c>
    </row>
    <row r="76" spans="1:1" x14ac:dyDescent="0.3">
      <c r="A76" t="s">
        <v>2409</v>
      </c>
    </row>
    <row r="77" spans="1:1" x14ac:dyDescent="0.3">
      <c r="A77" t="s">
        <v>2410</v>
      </c>
    </row>
    <row r="78" spans="1:1" x14ac:dyDescent="0.3">
      <c r="A78" t="s">
        <v>2411</v>
      </c>
    </row>
    <row r="79" spans="1:1" x14ac:dyDescent="0.3">
      <c r="A79" t="s">
        <v>2412</v>
      </c>
    </row>
    <row r="80" spans="1:1" x14ac:dyDescent="0.3">
      <c r="A80" t="s">
        <v>2413</v>
      </c>
    </row>
    <row r="81" spans="1:1" x14ac:dyDescent="0.3">
      <c r="A81" t="s">
        <v>2414</v>
      </c>
    </row>
    <row r="82" spans="1:1" x14ac:dyDescent="0.3">
      <c r="A82" t="s">
        <v>2415</v>
      </c>
    </row>
    <row r="85" spans="1:1" x14ac:dyDescent="0.3">
      <c r="A85" t="s">
        <v>2418</v>
      </c>
    </row>
    <row r="86" spans="1:1" x14ac:dyDescent="0.3">
      <c r="A86" t="s">
        <v>2419</v>
      </c>
    </row>
    <row r="87" spans="1:1" x14ac:dyDescent="0.3">
      <c r="A87" t="s">
        <v>2420</v>
      </c>
    </row>
    <row r="88" spans="1:1" x14ac:dyDescent="0.3">
      <c r="A88" t="s">
        <v>2421</v>
      </c>
    </row>
    <row r="89" spans="1:1" x14ac:dyDescent="0.3">
      <c r="A89" t="s">
        <v>2422</v>
      </c>
    </row>
    <row r="90" spans="1:1" x14ac:dyDescent="0.3">
      <c r="A90" t="s">
        <v>2423</v>
      </c>
    </row>
    <row r="91" spans="1:1" x14ac:dyDescent="0.3">
      <c r="A91" t="s">
        <v>2424</v>
      </c>
    </row>
    <row r="92" spans="1:1" x14ac:dyDescent="0.3">
      <c r="A92" t="s">
        <v>2425</v>
      </c>
    </row>
    <row r="93" spans="1:1" x14ac:dyDescent="0.3">
      <c r="A93" t="s">
        <v>2426</v>
      </c>
    </row>
    <row r="94" spans="1:1" x14ac:dyDescent="0.3">
      <c r="A94" t="s">
        <v>2427</v>
      </c>
    </row>
    <row r="95" spans="1:1" x14ac:dyDescent="0.3">
      <c r="A95" t="s">
        <v>2428</v>
      </c>
    </row>
    <row r="96" spans="1:1" x14ac:dyDescent="0.3">
      <c r="A96" t="s">
        <v>2429</v>
      </c>
    </row>
    <row r="97" spans="1:1" x14ac:dyDescent="0.3">
      <c r="A97" t="s">
        <v>2425</v>
      </c>
    </row>
    <row r="98" spans="1:1" x14ac:dyDescent="0.3">
      <c r="A98" t="s">
        <v>2430</v>
      </c>
    </row>
    <row r="99" spans="1:1" x14ac:dyDescent="0.3">
      <c r="A99" t="s">
        <v>2431</v>
      </c>
    </row>
    <row r="100" spans="1:1" x14ac:dyDescent="0.3">
      <c r="A100" t="s">
        <v>2425</v>
      </c>
    </row>
    <row r="101" spans="1:1" x14ac:dyDescent="0.3">
      <c r="A101" t="s">
        <v>2432</v>
      </c>
    </row>
    <row r="102" spans="1:1" x14ac:dyDescent="0.3">
      <c r="A102" t="s">
        <v>2433</v>
      </c>
    </row>
    <row r="103" spans="1:1" x14ac:dyDescent="0.3">
      <c r="A103" t="s">
        <v>2434</v>
      </c>
    </row>
    <row r="104" spans="1:1" x14ac:dyDescent="0.3">
      <c r="A104" t="s">
        <v>2435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1414</v>
      </c>
      <c r="B1" s="8"/>
      <c r="C1" s="8"/>
      <c r="D1" s="8"/>
      <c r="E1" s="8"/>
      <c r="F1" s="8"/>
      <c r="H1" t="s">
        <v>1832</v>
      </c>
    </row>
    <row r="2" spans="1:17" x14ac:dyDescent="0.3">
      <c r="A2" s="8" t="s">
        <v>1418</v>
      </c>
      <c r="B2" s="8"/>
      <c r="C2" s="8"/>
      <c r="D2" s="8"/>
      <c r="E2" s="8"/>
      <c r="F2" s="8"/>
      <c r="H2" s="71" t="s">
        <v>1831</v>
      </c>
      <c r="M2" s="12" t="s">
        <v>578</v>
      </c>
      <c r="N2" s="5" t="s">
        <v>575</v>
      </c>
      <c r="O2" s="4" t="s">
        <v>1112</v>
      </c>
      <c r="P2" s="5" t="s">
        <v>1113</v>
      </c>
      <c r="Q2" s="41" t="s">
        <v>1408</v>
      </c>
    </row>
    <row r="3" spans="1:17" x14ac:dyDescent="0.3">
      <c r="A3" s="8" t="s">
        <v>1415</v>
      </c>
      <c r="B3" s="8" t="s">
        <v>60</v>
      </c>
      <c r="C3" s="8" t="s">
        <v>61</v>
      </c>
      <c r="D3" s="8" t="s">
        <v>62</v>
      </c>
      <c r="E3" s="8" t="s">
        <v>1416</v>
      </c>
      <c r="F3" s="8" t="s">
        <v>1417</v>
      </c>
      <c r="M3" s="13">
        <v>1</v>
      </c>
      <c r="N3" s="6" t="s">
        <v>1119</v>
      </c>
      <c r="O3" s="6" t="s">
        <v>1376</v>
      </c>
      <c r="P3" s="6" t="s">
        <v>1093</v>
      </c>
      <c r="Q3" s="37" t="s">
        <v>17</v>
      </c>
    </row>
    <row r="4" spans="1:17" x14ac:dyDescent="0.3">
      <c r="A4" s="8">
        <v>1</v>
      </c>
      <c r="B4" s="8">
        <v>14</v>
      </c>
      <c r="C4" s="8">
        <v>0.6</v>
      </c>
      <c r="D4" s="8">
        <v>2</v>
      </c>
      <c r="E4" s="8">
        <v>1</v>
      </c>
      <c r="F4" s="8">
        <v>1</v>
      </c>
      <c r="I4" t="s">
        <v>1421</v>
      </c>
      <c r="M4" s="12">
        <v>2</v>
      </c>
      <c r="N4" s="6" t="s">
        <v>1120</v>
      </c>
      <c r="O4" s="6" t="s">
        <v>1377</v>
      </c>
      <c r="P4" s="6" t="s">
        <v>1093</v>
      </c>
      <c r="Q4" s="37" t="s">
        <v>17</v>
      </c>
    </row>
    <row r="5" spans="1:17" x14ac:dyDescent="0.3">
      <c r="A5" s="8">
        <v>100</v>
      </c>
      <c r="B5" s="8">
        <v>15</v>
      </c>
      <c r="C5" s="8">
        <v>0.5</v>
      </c>
      <c r="D5" s="8">
        <v>1</v>
      </c>
      <c r="E5" s="8">
        <v>1</v>
      </c>
      <c r="F5" s="8">
        <v>1</v>
      </c>
      <c r="I5" t="s">
        <v>1422</v>
      </c>
      <c r="M5" s="13">
        <v>3</v>
      </c>
      <c r="N5" s="6" t="s">
        <v>1121</v>
      </c>
      <c r="O5" s="6" t="s">
        <v>1283</v>
      </c>
      <c r="P5" s="6" t="s">
        <v>1093</v>
      </c>
      <c r="Q5" s="37" t="s">
        <v>17</v>
      </c>
    </row>
    <row r="6" spans="1:17" x14ac:dyDescent="0.3">
      <c r="A6" s="8">
        <v>250</v>
      </c>
      <c r="B6" s="8">
        <v>13</v>
      </c>
      <c r="C6" s="8">
        <v>0.4</v>
      </c>
      <c r="D6" s="8">
        <v>1</v>
      </c>
      <c r="E6" s="8">
        <v>1</v>
      </c>
      <c r="F6" s="8">
        <v>1</v>
      </c>
      <c r="M6" s="12">
        <v>4</v>
      </c>
      <c r="N6" s="6" t="s">
        <v>1122</v>
      </c>
      <c r="O6" s="6" t="s">
        <v>1378</v>
      </c>
      <c r="P6" s="6" t="s">
        <v>1093</v>
      </c>
      <c r="Q6" s="37" t="s">
        <v>17</v>
      </c>
    </row>
    <row r="7" spans="1:17" x14ac:dyDescent="0.3">
      <c r="A7" s="8">
        <v>365</v>
      </c>
      <c r="B7" s="8">
        <v>12</v>
      </c>
      <c r="C7" s="8">
        <v>0.6</v>
      </c>
      <c r="D7" s="8">
        <v>1</v>
      </c>
      <c r="E7" s="8">
        <v>1</v>
      </c>
      <c r="F7" s="8">
        <v>1</v>
      </c>
      <c r="I7" s="42">
        <f>1000/(365*86400*1000*1000)</f>
        <v>3.1709791983764586E-11</v>
      </c>
      <c r="M7" s="13">
        <v>5</v>
      </c>
      <c r="N7" s="6" t="s">
        <v>1123</v>
      </c>
      <c r="O7" s="6" t="s">
        <v>1284</v>
      </c>
      <c r="P7" s="6" t="s">
        <v>1093</v>
      </c>
      <c r="Q7" s="37" t="s">
        <v>17</v>
      </c>
    </row>
    <row r="8" spans="1:17" x14ac:dyDescent="0.3">
      <c r="A8" s="8">
        <v>400</v>
      </c>
      <c r="B8" s="8">
        <v>11</v>
      </c>
      <c r="C8" s="8">
        <v>0.4</v>
      </c>
      <c r="D8" s="8">
        <v>2</v>
      </c>
      <c r="E8" s="8">
        <v>1</v>
      </c>
      <c r="F8" s="8">
        <v>1</v>
      </c>
      <c r="M8" s="12">
        <v>6</v>
      </c>
      <c r="N8" s="6" t="s">
        <v>1124</v>
      </c>
      <c r="O8" s="6" t="s">
        <v>1379</v>
      </c>
      <c r="P8" s="6" t="s">
        <v>1093</v>
      </c>
      <c r="Q8" s="37" t="s">
        <v>2</v>
      </c>
    </row>
    <row r="9" spans="1:17" x14ac:dyDescent="0.3">
      <c r="M9" s="13">
        <v>7</v>
      </c>
      <c r="N9" s="6" t="s">
        <v>1125</v>
      </c>
      <c r="O9" s="6" t="s">
        <v>1380</v>
      </c>
      <c r="P9" s="6" t="s">
        <v>1093</v>
      </c>
      <c r="Q9" s="37" t="s">
        <v>2</v>
      </c>
    </row>
    <row r="10" spans="1:17" x14ac:dyDescent="0.3">
      <c r="M10" s="12">
        <v>8</v>
      </c>
      <c r="N10" s="6" t="s">
        <v>1126</v>
      </c>
      <c r="O10" s="6" t="s">
        <v>1285</v>
      </c>
      <c r="P10" s="6" t="s">
        <v>1093</v>
      </c>
      <c r="Q10" s="37" t="s">
        <v>2</v>
      </c>
    </row>
    <row r="11" spans="1:17" x14ac:dyDescent="0.3">
      <c r="M11" s="13">
        <v>9</v>
      </c>
      <c r="N11" s="6" t="s">
        <v>1127</v>
      </c>
      <c r="O11" s="6" t="s">
        <v>1286</v>
      </c>
      <c r="P11" s="6" t="s">
        <v>1077</v>
      </c>
      <c r="Q11" s="37" t="s">
        <v>17</v>
      </c>
    </row>
    <row r="12" spans="1:17" x14ac:dyDescent="0.3">
      <c r="M12" s="12">
        <v>10</v>
      </c>
      <c r="N12" s="6" t="s">
        <v>1128</v>
      </c>
      <c r="O12" s="6" t="s">
        <v>1287</v>
      </c>
      <c r="P12" s="6" t="s">
        <v>1077</v>
      </c>
      <c r="Q12" s="37" t="s">
        <v>17</v>
      </c>
    </row>
    <row r="13" spans="1:17" x14ac:dyDescent="0.3">
      <c r="M13" s="13">
        <v>11</v>
      </c>
      <c r="N13" s="6" t="s">
        <v>1129</v>
      </c>
      <c r="O13" s="6" t="s">
        <v>1288</v>
      </c>
      <c r="P13" s="6" t="s">
        <v>1093</v>
      </c>
      <c r="Q13" s="37" t="s">
        <v>17</v>
      </c>
    </row>
    <row r="14" spans="1:17" x14ac:dyDescent="0.3">
      <c r="M14" s="12">
        <v>12</v>
      </c>
      <c r="N14" s="6" t="s">
        <v>1130</v>
      </c>
      <c r="O14" s="6" t="s">
        <v>1289</v>
      </c>
      <c r="P14" s="6" t="s">
        <v>1093</v>
      </c>
      <c r="Q14" s="37" t="s">
        <v>17</v>
      </c>
    </row>
    <row r="15" spans="1:17" x14ac:dyDescent="0.3">
      <c r="M15" s="13">
        <v>13</v>
      </c>
      <c r="N15" s="6" t="s">
        <v>1131</v>
      </c>
      <c r="O15" s="6" t="s">
        <v>1290</v>
      </c>
      <c r="P15" s="6" t="s">
        <v>1093</v>
      </c>
      <c r="Q15" s="37" t="s">
        <v>17</v>
      </c>
    </row>
    <row r="16" spans="1:17" x14ac:dyDescent="0.3">
      <c r="M16" s="12">
        <v>14</v>
      </c>
      <c r="N16" s="6" t="s">
        <v>1132</v>
      </c>
      <c r="O16" s="6" t="s">
        <v>1291</v>
      </c>
      <c r="P16" s="6" t="s">
        <v>1093</v>
      </c>
      <c r="Q16" s="37" t="s">
        <v>17</v>
      </c>
    </row>
    <row r="17" spans="13:17" x14ac:dyDescent="0.3">
      <c r="M17" s="13">
        <v>15</v>
      </c>
      <c r="N17" s="6" t="s">
        <v>1133</v>
      </c>
      <c r="O17" s="6" t="s">
        <v>1292</v>
      </c>
      <c r="P17" s="6" t="s">
        <v>1077</v>
      </c>
      <c r="Q17" s="37" t="s">
        <v>17</v>
      </c>
    </row>
    <row r="18" spans="13:17" x14ac:dyDescent="0.3">
      <c r="M18" s="12">
        <v>16</v>
      </c>
      <c r="N18" s="6" t="s">
        <v>1134</v>
      </c>
      <c r="O18" s="6" t="s">
        <v>1293</v>
      </c>
      <c r="P18" s="6" t="s">
        <v>1093</v>
      </c>
      <c r="Q18" s="37" t="s">
        <v>17</v>
      </c>
    </row>
    <row r="19" spans="13:17" x14ac:dyDescent="0.3">
      <c r="M19" s="13">
        <v>17</v>
      </c>
      <c r="N19" s="6" t="s">
        <v>1135</v>
      </c>
      <c r="O19" s="6" t="s">
        <v>1294</v>
      </c>
      <c r="P19" s="6" t="s">
        <v>1093</v>
      </c>
      <c r="Q19" s="37" t="s">
        <v>17</v>
      </c>
    </row>
    <row r="20" spans="13:17" x14ac:dyDescent="0.3">
      <c r="M20" s="12">
        <v>18</v>
      </c>
      <c r="N20" s="6" t="s">
        <v>1136</v>
      </c>
      <c r="O20" s="6" t="s">
        <v>1295</v>
      </c>
      <c r="P20" s="6" t="s">
        <v>1093</v>
      </c>
      <c r="Q20" s="37" t="s">
        <v>17</v>
      </c>
    </row>
    <row r="21" spans="13:17" x14ac:dyDescent="0.3">
      <c r="M21" s="13">
        <v>19</v>
      </c>
      <c r="N21" s="6" t="s">
        <v>1137</v>
      </c>
      <c r="O21" s="6" t="s">
        <v>1296</v>
      </c>
      <c r="P21" s="6" t="s">
        <v>1093</v>
      </c>
      <c r="Q21" s="37" t="s">
        <v>17</v>
      </c>
    </row>
    <row r="22" spans="13:17" x14ac:dyDescent="0.3">
      <c r="M22" s="12">
        <v>20</v>
      </c>
      <c r="N22" s="6" t="s">
        <v>1138</v>
      </c>
      <c r="O22" s="6" t="s">
        <v>1297</v>
      </c>
      <c r="P22" s="6" t="s">
        <v>1077</v>
      </c>
      <c r="Q22" s="37" t="s">
        <v>17</v>
      </c>
    </row>
    <row r="23" spans="13:17" x14ac:dyDescent="0.3">
      <c r="M23" s="13">
        <v>21</v>
      </c>
      <c r="N23" s="6" t="s">
        <v>1139</v>
      </c>
      <c r="O23" s="6" t="s">
        <v>1298</v>
      </c>
      <c r="P23" s="6" t="s">
        <v>1077</v>
      </c>
      <c r="Q23" s="37" t="s">
        <v>17</v>
      </c>
    </row>
    <row r="24" spans="13:17" x14ac:dyDescent="0.3">
      <c r="M24" s="12">
        <v>22</v>
      </c>
      <c r="N24" s="6" t="s">
        <v>1140</v>
      </c>
      <c r="O24" s="6" t="s">
        <v>1299</v>
      </c>
      <c r="P24" s="6" t="s">
        <v>1077</v>
      </c>
      <c r="Q24" s="37" t="s">
        <v>17</v>
      </c>
    </row>
    <row r="25" spans="13:17" x14ac:dyDescent="0.3">
      <c r="M25" s="13">
        <v>23</v>
      </c>
      <c r="N25" s="6" t="s">
        <v>1141</v>
      </c>
      <c r="O25" s="6" t="s">
        <v>1300</v>
      </c>
      <c r="P25" s="6" t="s">
        <v>1077</v>
      </c>
      <c r="Q25" s="37" t="s">
        <v>2</v>
      </c>
    </row>
    <row r="26" spans="13:17" x14ac:dyDescent="0.3">
      <c r="M26" s="12">
        <v>24</v>
      </c>
      <c r="N26" s="6" t="s">
        <v>1142</v>
      </c>
      <c r="O26" s="6" t="s">
        <v>1301</v>
      </c>
      <c r="P26" s="6" t="s">
        <v>1077</v>
      </c>
      <c r="Q26" s="37" t="s">
        <v>2</v>
      </c>
    </row>
    <row r="27" spans="13:17" x14ac:dyDescent="0.3">
      <c r="M27" s="13">
        <v>25</v>
      </c>
      <c r="N27" s="6" t="s">
        <v>1143</v>
      </c>
      <c r="O27" s="6" t="s">
        <v>1302</v>
      </c>
      <c r="P27" s="6" t="s">
        <v>1077</v>
      </c>
      <c r="Q27" s="37" t="s">
        <v>17</v>
      </c>
    </row>
    <row r="28" spans="13:17" x14ac:dyDescent="0.3">
      <c r="M28" s="12">
        <v>26</v>
      </c>
      <c r="N28" s="6" t="s">
        <v>1144</v>
      </c>
      <c r="O28" s="6" t="s">
        <v>1303</v>
      </c>
      <c r="P28" s="6" t="s">
        <v>1077</v>
      </c>
      <c r="Q28" s="37" t="s">
        <v>17</v>
      </c>
    </row>
    <row r="29" spans="13:17" x14ac:dyDescent="0.3">
      <c r="M29" s="13">
        <v>27</v>
      </c>
      <c r="N29" s="6" t="s">
        <v>1145</v>
      </c>
      <c r="O29" s="6" t="s">
        <v>1304</v>
      </c>
      <c r="P29" s="6" t="s">
        <v>1077</v>
      </c>
      <c r="Q29" s="37" t="s">
        <v>17</v>
      </c>
    </row>
    <row r="30" spans="13:17" x14ac:dyDescent="0.3">
      <c r="M30" s="12">
        <v>28</v>
      </c>
      <c r="N30" s="6" t="s">
        <v>1146</v>
      </c>
      <c r="O30" s="6" t="s">
        <v>1305</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2023-05-19T19:06:46Z</dcterms:modified>
</cp:coreProperties>
</file>